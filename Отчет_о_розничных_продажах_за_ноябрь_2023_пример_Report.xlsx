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023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pfur-my.sharepoint.com/personal/1032201533_pfur_ru/Documents/Документы/"/>
    </mc:Choice>
  </mc:AlternateContent>
  <xr:revisionPtr revIDLastSave="43" documentId="8_{C5C1BE02-5EAE-48DC-A6BB-1F537D1FA649}" xr6:coauthVersionLast="47" xr6:coauthVersionMax="47" xr10:uidLastSave="{DE6921B2-8A08-4DF6-AD26-4AB2BEA8AADB}"/>
  <x:bookViews>
    <x:workbookView xWindow="-120" yWindow="-120" windowWidth="29040" windowHeight="15720" firstSheet="0" activeTab="0" xr2:uid="{3B8A1B3F-FFFB-F84B-BC29-A2B962F36070}"/>
  </x:bookViews>
  <x:sheets>
    <x:sheet name="Лист1" sheetId="1" r:id="rId1"/>
    <x:sheet name="Лист2" sheetId="2" r:id="rId2"/>
    <x:sheet name="Лист3" sheetId="3" r:id="rId3"/>
    <x:sheet name="Лист4" sheetId="4" r:id="rId4"/>
    <x:sheet name="Лист5" sheetId="5" r:id="rId5"/>
    <x:sheet name="Лист6" sheetId="6" r:id="rId6"/>
    <x:sheet name="Лист7" sheetId="7" r:id="rId7"/>
    <x:sheet name="Лист8" sheetId="8" r:id="rId8"/>
    <x:sheet name="Лист9" sheetId="9" r:id="rId9"/>
    <x:sheet name="Лист10" sheetId="10" r:id="rId10"/>
    <x:sheet name="Лист11" sheetId="11" r:id="rId11"/>
    <x:sheet name="Лист12" sheetId="12" r:id="rId12"/>
    <x:sheet name="Лист13" sheetId="13" r:id="rId13"/>
    <x:sheet name="Лист14" sheetId="14" r:id="rId14"/>
    <x:sheet name="Лист15" sheetId="15" r:id="rId15"/>
    <x:sheet name="Лист16" sheetId="16" r:id="rId16"/>
    <x:sheet name="Лист17" sheetId="17" r:id="rId17"/>
    <x:sheet name="Лист18" sheetId="18" r:id="rId18"/>
    <x:sheet name="Лист19" sheetId="19" r:id="rId19"/>
    <x:sheet name="Лист20" sheetId="20" r:id="rId20"/>
    <x:sheet name="Лист21" sheetId="21" r:id="rId21"/>
    <x:sheet name="Лист22" sheetId="22" r:id="rId22"/>
    <x:sheet name="Лист23" sheetId="23" r:id="rId23"/>
    <x:sheet name="Лист24" sheetId="24" r:id="rId24"/>
    <x:sheet name="Лист25" sheetId="25" r:id="rId25"/>
    <x:sheet name="Лист26" sheetId="26" r:id="rId26"/>
    <x:sheet name="Лист27" sheetId="27" r:id="rId27"/>
    <x:sheet name="Лист28" sheetId="28" r:id="rId28"/>
    <x:sheet name="Лист29" sheetId="29" r:id="rId29"/>
    <x:sheet name="Лист30" sheetId="30" r:id="rId30"/>
  </x:sheets>
  <x:definedNames/>
  <x:calcPr calcId="191028" refMode="R1C1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H35" i="1"/>
  <x:c r="H37" i="1"/>
  <x:c r="F38" i="1"/>
  <x:c r="G38" i="1"/>
  <x:c r="H38" i="1"/>
  <x:c r="F40" i="1"/>
  <x:c r="G40" i="1"/>
  <x:c r="H40" i="1"/>
  <x:c r="H41" i="1"/>
  <x:c r="F42" i="1"/>
  <x:c r="G42" i="1"/>
  <x:c r="H42" i="1"/>
  <x:c r="F43" i="1"/>
  <x:c r="G43" i="1"/>
  <x:c r="H43" i="1"/>
  <x:c r="F44" i="1"/>
  <x:c r="G44" i="1"/>
  <x:c r="H44" i="1"/>
  <x:c r="F45" i="1"/>
  <x:c r="G45" i="1"/>
  <x:c r="H45" i="1"/>
  <x:c r="H49" i="1"/>
  <x:c r="F51" i="1"/>
  <x:c r="G51" i="1"/>
  <x:c r="H51" i="1"/>
  <x:c r="F52" i="1"/>
  <x:c r="G52" i="1"/>
  <x:c r="H52" i="1"/>
  <x:c r="F53" i="1"/>
  <x:c r="G53" i="1"/>
  <x:c r="H53" i="1"/>
  <x:c r="F54" i="1"/>
  <x:c r="G54" i="1"/>
  <x:c r="H54" i="1"/>
  <x:c r="F55" i="1"/>
  <x:c r="G55" i="1"/>
  <x:c r="H55" i="1"/>
  <x:c r="H56" i="1"/>
  <x:c r="H59" i="1"/>
  <x:c r="H60" i="1"/>
  <x:c r="H35" i="2"/>
  <x:c r="H37" i="2"/>
  <x:c r="F38" i="2"/>
  <x:c r="G38" i="2"/>
  <x:c r="H38" i="2"/>
  <x:c r="F40" i="2"/>
  <x:c r="G40" i="2"/>
  <x:c r="H40" i="2"/>
  <x:c r="H41" i="2"/>
  <x:c r="F42" i="2"/>
  <x:c r="G42" i="2"/>
  <x:c r="H42" i="2"/>
  <x:c r="F44" i="2"/>
  <x:c r="G44" i="2"/>
  <x:c r="H44" i="2"/>
  <x:c r="F45" i="2"/>
  <x:c r="G45" i="2"/>
  <x:c r="H45" i="2"/>
  <x:c r="H49" i="2"/>
  <x:c r="F51" i="2"/>
  <x:c r="G51" i="2"/>
  <x:c r="H51" i="2"/>
  <x:c r="F54" i="2"/>
  <x:c r="G54" i="2"/>
  <x:c r="H54" i="2"/>
  <x:c r="F55" i="2"/>
  <x:c r="G55" i="2"/>
  <x:c r="H55" i="2"/>
  <x:c r="H56" i="2"/>
  <x:c r="H59" i="2"/>
  <x:c r="H60" i="2"/>
  <x:c r="H45" i="3"/>
  <x:c r="H47" i="3"/>
  <x:c r="F48" i="3"/>
  <x:c r="G48" i="3"/>
  <x:c r="H48" i="3"/>
  <x:c r="F49" i="3"/>
  <x:c r="G49" i="3"/>
  <x:c r="H49" i="3"/>
  <x:c r="F50" i="3"/>
  <x:c r="G50" i="3"/>
  <x:c r="H50" i="3"/>
  <x:c r="H51" i="3"/>
  <x:c r="F52" i="3"/>
  <x:c r="G52" i="3"/>
  <x:c r="H52" i="3"/>
  <x:c r="F54" i="3"/>
  <x:c r="G54" i="3"/>
  <x:c r="H54" i="3"/>
  <x:c r="F55" i="3"/>
  <x:c r="G55" i="3"/>
  <x:c r="H55" i="3"/>
  <x:c r="F56" i="3"/>
  <x:c r="G56" i="3"/>
  <x:c r="H56" i="3"/>
  <x:c r="F57" i="3"/>
  <x:c r="G57" i="3"/>
  <x:c r="H57" i="3"/>
  <x:c r="F58" i="3"/>
  <x:c r="G58" i="3"/>
  <x:c r="H58" i="3"/>
  <x:c r="H59" i="3"/>
  <x:c r="F61" i="3"/>
  <x:c r="G61" i="3"/>
  <x:c r="H61" i="3"/>
  <x:c r="F62" i="3"/>
  <x:c r="G62" i="3"/>
  <x:c r="H62" i="3"/>
  <x:c r="F63" i="3"/>
  <x:c r="G63" i="3"/>
  <x:c r="H63" i="3"/>
  <x:c r="F64" i="3"/>
  <x:c r="G64" i="3"/>
  <x:c r="H64" i="3"/>
  <x:c r="F65" i="3"/>
  <x:c r="G65" i="3"/>
  <x:c r="H65" i="3"/>
  <x:c r="H66" i="3"/>
  <x:c r="H69" i="3"/>
  <x:c r="H70" i="3"/>
  <x:c r="H27" i="4"/>
  <x:c r="H29" i="4"/>
  <x:c r="F30" i="4"/>
  <x:c r="G30" i="4"/>
  <x:c r="H30" i="4"/>
  <x:c r="F31" i="4"/>
  <x:c r="G31" i="4"/>
  <x:c r="H31" i="4"/>
  <x:c r="F32" i="4"/>
  <x:c r="G32" i="4"/>
  <x:c r="H32" i="4"/>
  <x:c r="H33" i="4"/>
  <x:c r="F34" i="4"/>
  <x:c r="G34" i="4"/>
  <x:c r="H34" i="4"/>
  <x:c r="F37" i="4"/>
  <x:c r="G37" i="4"/>
  <x:c r="H37" i="4"/>
  <x:c r="H41" i="4"/>
  <x:c r="F43" i="4"/>
  <x:c r="G43" i="4"/>
  <x:c r="H43" i="4"/>
  <x:c r="F46" i="4"/>
  <x:c r="G46" i="4"/>
  <x:c r="H46" i="4"/>
  <x:c r="H48" i="4"/>
  <x:c r="H51" i="4"/>
  <x:c r="H52" i="4"/>
  <x:c r="H38" i="5"/>
  <x:c r="H40" i="5"/>
  <x:c r="F41" i="5"/>
  <x:c r="G41" i="5"/>
  <x:c r="H41" i="5"/>
  <x:c r="F43" i="5"/>
  <x:c r="G43" i="5"/>
  <x:c r="H43" i="5"/>
  <x:c r="H44" i="5"/>
  <x:c r="F45" i="5"/>
  <x:c r="G45" i="5"/>
  <x:c r="H45" i="5"/>
  <x:c r="F46" i="5"/>
  <x:c r="G46" i="5"/>
  <x:c r="H46" i="5"/>
  <x:c r="F48" i="5"/>
  <x:c r="G48" i="5"/>
  <x:c r="H48" i="5"/>
  <x:c r="F49" i="5"/>
  <x:c r="G49" i="5"/>
  <x:c r="H49" i="5"/>
  <x:c r="H52" i="5"/>
  <x:c r="F54" i="5"/>
  <x:c r="G54" i="5"/>
  <x:c r="H54" i="5"/>
  <x:c r="F57" i="5"/>
  <x:c r="G57" i="5"/>
  <x:c r="H57" i="5"/>
  <x:c r="F58" i="5"/>
  <x:c r="G58" i="5"/>
  <x:c r="H58" i="5"/>
  <x:c r="H59" i="5"/>
  <x:c r="H62" i="5"/>
  <x:c r="H63" i="5"/>
  <x:c r="H29" i="6"/>
  <x:c r="H31" i="6"/>
  <x:c r="F32" i="6"/>
  <x:c r="G32" i="6"/>
  <x:c r="H32" i="6"/>
  <x:c r="F34" i="6"/>
  <x:c r="G34" i="6"/>
  <x:c r="H34" i="6"/>
  <x:c r="H35" i="6"/>
  <x:c r="F36" i="6"/>
  <x:c r="G36" i="6"/>
  <x:c r="H36" i="6"/>
  <x:c r="F39" i="6"/>
  <x:c r="G39" i="6"/>
  <x:c r="H39" i="6"/>
  <x:c r="F42" i="6"/>
  <x:c r="G42" i="6"/>
  <x:c r="H42" i="6"/>
  <x:c r="H43" i="6"/>
  <x:c r="F45" i="6"/>
  <x:c r="G45" i="6"/>
  <x:c r="H45" i="6"/>
  <x:c r="F48" i="6"/>
  <x:c r="G48" i="6"/>
  <x:c r="H48" i="6"/>
  <x:c r="F49" i="6"/>
  <x:c r="G49" i="6"/>
  <x:c r="H49" i="6"/>
  <x:c r="H50" i="6"/>
  <x:c r="H53" i="6"/>
  <x:c r="H54" i="6"/>
  <x:c r="H39" i="7"/>
  <x:c r="H41" i="7"/>
  <x:c r="F42" i="7"/>
  <x:c r="G42" i="7"/>
  <x:c r="H42" i="7"/>
  <x:c r="F44" i="7"/>
  <x:c r="G44" i="7"/>
  <x:c r="H44" i="7"/>
  <x:c r="H45" i="7"/>
  <x:c r="F46" i="7"/>
  <x:c r="G46" i="7"/>
  <x:c r="H46" i="7"/>
  <x:c r="F48" i="7"/>
  <x:c r="G48" i="7"/>
  <x:c r="H48" i="7"/>
  <x:c r="F49" i="7"/>
  <x:c r="G49" i="7"/>
  <x:c r="H49" i="7"/>
  <x:c r="F50" i="7"/>
  <x:c r="G50" i="7"/>
  <x:c r="H50" i="7"/>
  <x:c r="H53" i="7"/>
  <x:c r="F55" i="7"/>
  <x:c r="G55" i="7"/>
  <x:c r="H55" i="7"/>
  <x:c r="F56" i="7"/>
  <x:c r="G56" i="7"/>
  <x:c r="H56" i="7"/>
  <x:c r="F58" i="7"/>
  <x:c r="G58" i="7"/>
  <x:c r="H58" i="7"/>
  <x:c r="F59" i="7"/>
  <x:c r="G59" i="7"/>
  <x:c r="H59" i="7"/>
  <x:c r="H60" i="7"/>
  <x:c r="H63" i="7"/>
  <x:c r="H64" i="7"/>
  <x:c r="H33" i="8"/>
  <x:c r="H35" i="8"/>
  <x:c r="F36" i="8"/>
  <x:c r="G36" i="8"/>
  <x:c r="H36" i="8"/>
  <x:c r="F38" i="8"/>
  <x:c r="G38" i="8"/>
  <x:c r="H38" i="8"/>
  <x:c r="H39" i="8"/>
  <x:c r="F40" i="8"/>
  <x:c r="G40" i="8"/>
  <x:c r="H40" i="8"/>
  <x:c r="F42" i="8"/>
  <x:c r="G42" i="8"/>
  <x:c r="H42" i="8"/>
  <x:c r="H47" i="8"/>
  <x:c r="F49" i="8"/>
  <x:c r="G49" i="8"/>
  <x:c r="H49" i="8"/>
  <x:c r="F50" i="8"/>
  <x:c r="G50" i="8"/>
  <x:c r="H50" i="8"/>
  <x:c r="F51" i="8"/>
  <x:c r="G51" i="8"/>
  <x:c r="H51" i="8"/>
  <x:c r="F52" i="8"/>
  <x:c r="G52" i="8"/>
  <x:c r="H52" i="8"/>
  <x:c r="H54" i="8"/>
  <x:c r="H57" i="8"/>
  <x:c r="H58" i="8"/>
  <x:c r="H31" i="9"/>
  <x:c r="H33" i="9"/>
  <x:c r="F34" i="9"/>
  <x:c r="G34" i="9"/>
  <x:c r="H34" i="9"/>
  <x:c r="F36" i="9"/>
  <x:c r="G36" i="9"/>
  <x:c r="H36" i="9"/>
  <x:c r="H37" i="9"/>
  <x:c r="F38" i="9"/>
  <x:c r="G38" i="9"/>
  <x:c r="H38" i="9"/>
  <x:c r="H45" i="9"/>
  <x:c r="F47" i="9"/>
  <x:c r="G47" i="9"/>
  <x:c r="H47" i="9"/>
  <x:c r="F48" i="9"/>
  <x:c r="G48" i="9"/>
  <x:c r="H48" i="9"/>
  <x:c r="F50" i="9"/>
  <x:c r="G50" i="9"/>
  <x:c r="H50" i="9"/>
  <x:c r="F51" i="9"/>
  <x:c r="G51" i="9"/>
  <x:c r="H51" i="9"/>
  <x:c r="H52" i="9"/>
  <x:c r="H55" i="9"/>
  <x:c r="H56" i="9"/>
  <x:c r="H47" i="10"/>
  <x:c r="H49" i="10"/>
  <x:c r="F50" i="10"/>
  <x:c r="G50" i="10"/>
  <x:c r="H50" i="10"/>
  <x:c r="F51" i="10"/>
  <x:c r="G51" i="10"/>
  <x:c r="H51" i="10"/>
  <x:c r="F52" i="10"/>
  <x:c r="G52" i="10"/>
  <x:c r="H52" i="10"/>
  <x:c r="H53" i="10"/>
  <x:c r="F54" i="10"/>
  <x:c r="G54" i="10"/>
  <x:c r="H54" i="10"/>
  <x:c r="F57" i="10"/>
  <x:c r="G57" i="10"/>
  <x:c r="H57" i="10"/>
  <x:c r="F58" i="10"/>
  <x:c r="G58" i="10"/>
  <x:c r="H58" i="10"/>
  <x:c r="H61" i="10"/>
  <x:c r="F63" i="10"/>
  <x:c r="G63" i="10"/>
  <x:c r="H63" i="10"/>
  <x:c r="F65" i="10"/>
  <x:c r="G65" i="10"/>
  <x:c r="H65" i="10"/>
  <x:c r="F66" i="10"/>
  <x:c r="G66" i="10"/>
  <x:c r="H66" i="10"/>
  <x:c r="F67" i="10"/>
  <x:c r="G67" i="10"/>
  <x:c r="H67" i="10"/>
  <x:c r="H68" i="10"/>
  <x:c r="H71" i="10"/>
  <x:c r="H72" i="10"/>
  <x:c r="H41" i="11"/>
  <x:c r="H43" i="11"/>
  <x:c r="F44" i="11"/>
  <x:c r="G44" i="11"/>
  <x:c r="H44" i="11"/>
  <x:c r="F46" i="11"/>
  <x:c r="G46" i="11"/>
  <x:c r="H46" i="11"/>
  <x:c r="H47" i="11"/>
  <x:c r="F48" i="11"/>
  <x:c r="G48" i="11"/>
  <x:c r="H48" i="11"/>
  <x:c r="F50" i="11"/>
  <x:c r="G50" i="11"/>
  <x:c r="H50" i="11"/>
  <x:c r="F51" i="11"/>
  <x:c r="G51" i="11"/>
  <x:c r="H51" i="11"/>
  <x:c r="H55" i="11"/>
  <x:c r="F57" i="11"/>
  <x:c r="G57" i="11"/>
  <x:c r="H57" i="11"/>
  <x:c r="F60" i="11"/>
  <x:c r="G60" i="11"/>
  <x:c r="H60" i="11"/>
  <x:c r="F61" i="11"/>
  <x:c r="G61" i="11"/>
  <x:c r="H61" i="11"/>
  <x:c r="H62" i="11"/>
  <x:c r="H65" i="11"/>
  <x:c r="H66" i="11"/>
  <x:c r="H34" i="12"/>
  <x:c r="H36" i="12"/>
  <x:c r="F37" i="12"/>
  <x:c r="G37" i="12"/>
  <x:c r="H37" i="12"/>
  <x:c r="F39" i="12"/>
  <x:c r="G39" i="12"/>
  <x:c r="H39" i="12"/>
  <x:c r="H40" i="12"/>
  <x:c r="F41" i="12"/>
  <x:c r="G41" i="12"/>
  <x:c r="H41" i="12"/>
  <x:c r="F43" i="12"/>
  <x:c r="G43" i="12"/>
  <x:c r="H43" i="12"/>
  <x:c r="F45" i="12"/>
  <x:c r="G45" i="12"/>
  <x:c r="H45" i="12"/>
  <x:c r="H48" i="12"/>
  <x:c r="F50" i="12"/>
  <x:c r="G50" i="12"/>
  <x:c r="H50" i="12"/>
  <x:c r="F51" i="12"/>
  <x:c r="G51" i="12"/>
  <x:c r="H51" i="12"/>
  <x:c r="F52" i="12"/>
  <x:c r="G52" i="12"/>
  <x:c r="H52" i="12"/>
  <x:c r="F53" i="12"/>
  <x:c r="G53" i="12"/>
  <x:c r="H53" i="12"/>
  <x:c r="F54" i="12"/>
  <x:c r="G54" i="12"/>
  <x:c r="H54" i="12"/>
  <x:c r="H55" i="12"/>
  <x:c r="H58" i="12"/>
  <x:c r="H59" i="12"/>
  <x:c r="H30" i="13"/>
  <x:c r="H32" i="13"/>
  <x:c r="F33" i="13"/>
  <x:c r="G33" i="13"/>
  <x:c r="H33" i="13"/>
  <x:c r="F35" i="13"/>
  <x:c r="G35" i="13"/>
  <x:c r="H35" i="13"/>
  <x:c r="H36" i="13"/>
  <x:c r="F37" i="13"/>
  <x:c r="G37" i="13"/>
  <x:c r="H37" i="13"/>
  <x:c r="F38" i="13"/>
  <x:c r="G38" i="13"/>
  <x:c r="H38" i="13"/>
  <x:c r="F42" i="13"/>
  <x:c r="G42" i="13"/>
  <x:c r="H42" i="13"/>
  <x:c r="H44" i="13"/>
  <x:c r="F46" i="13"/>
  <x:c r="G46" i="13"/>
  <x:c r="H46" i="13"/>
  <x:c r="F48" i="13"/>
  <x:c r="G48" i="13"/>
  <x:c r="H48" i="13"/>
  <x:c r="F49" i="13"/>
  <x:c r="G49" i="13"/>
  <x:c r="H49" i="13"/>
  <x:c r="F50" i="13"/>
  <x:c r="G50" i="13"/>
  <x:c r="H50" i="13"/>
  <x:c r="H51" i="13"/>
  <x:c r="H54" i="13"/>
  <x:c r="H55" i="13"/>
  <x:c r="H43" i="14"/>
  <x:c r="H45" i="14"/>
  <x:c r="F46" i="14"/>
  <x:c r="G46" i="14"/>
  <x:c r="H46" i="14"/>
  <x:c r="F47" i="14"/>
  <x:c r="G47" i="14"/>
  <x:c r="H47" i="14"/>
  <x:c r="F48" i="14"/>
  <x:c r="G48" i="14"/>
  <x:c r="H48" i="14"/>
  <x:c r="H49" i="14"/>
  <x:c r="F50" i="14"/>
  <x:c r="G50" i="14"/>
  <x:c r="H50" i="14"/>
  <x:c r="F53" i="14"/>
  <x:c r="G53" i="14"/>
  <x:c r="H53" i="14"/>
  <x:c r="H57" i="14"/>
  <x:c r="F59" i="14"/>
  <x:c r="G59" i="14"/>
  <x:c r="H59" i="14"/>
  <x:c r="F60" i="14"/>
  <x:c r="G60" i="14"/>
  <x:c r="H60" i="14"/>
  <x:c r="F61" i="14"/>
  <x:c r="G61" i="14"/>
  <x:c r="H61" i="14"/>
  <x:c r="F62" i="14"/>
  <x:c r="G62" i="14"/>
  <x:c r="H62" i="14"/>
  <x:c r="F63" i="14"/>
  <x:c r="G63" i="14"/>
  <x:c r="H63" i="14"/>
  <x:c r="H64" i="14"/>
  <x:c r="H67" i="14"/>
  <x:c r="H68" i="14"/>
  <x:c r="H39" i="15"/>
  <x:c r="H41" i="15"/>
  <x:c r="F42" i="15"/>
  <x:c r="G42" i="15"/>
  <x:c r="H42" i="15"/>
  <x:c r="F43" i="15"/>
  <x:c r="G43" i="15"/>
  <x:c r="H43" i="15"/>
  <x:c r="F44" i="15"/>
  <x:c r="G44" i="15"/>
  <x:c r="H44" i="15"/>
  <x:c r="H45" i="15"/>
  <x:c r="F46" i="15"/>
  <x:c r="G46" i="15"/>
  <x:c r="H46" i="15"/>
  <x:c r="F48" i="15"/>
  <x:c r="G48" i="15"/>
  <x:c r="H48" i="15"/>
  <x:c r="F52" i="15"/>
  <x:c r="G52" i="15"/>
  <x:c r="H52" i="15"/>
  <x:c r="H53" i="15"/>
  <x:c r="F55" i="15"/>
  <x:c r="G55" i="15"/>
  <x:c r="H55" i="15"/>
  <x:c r="F57" i="15"/>
  <x:c r="G57" i="15"/>
  <x:c r="H57" i="15"/>
  <x:c r="F58" i="15"/>
  <x:c r="G58" i="15"/>
  <x:c r="H58" i="15"/>
  <x:c r="F59" i="15"/>
  <x:c r="G59" i="15"/>
  <x:c r="H59" i="15"/>
  <x:c r="H60" i="15"/>
  <x:c r="H63" i="15"/>
  <x:c r="H64" i="15"/>
  <x:c r="H35" i="16"/>
  <x:c r="H37" i="16"/>
  <x:c r="F38" i="16"/>
  <x:c r="G38" i="16"/>
  <x:c r="H38" i="16"/>
  <x:c r="F40" i="16"/>
  <x:c r="G40" i="16"/>
  <x:c r="H40" i="16"/>
  <x:c r="H41" i="16"/>
  <x:c r="F42" i="16"/>
  <x:c r="G42" i="16"/>
  <x:c r="H42" i="16"/>
  <x:c r="F43" i="16"/>
  <x:c r="G43" i="16"/>
  <x:c r="H43" i="16"/>
  <x:c r="F45" i="16"/>
  <x:c r="G45" i="16"/>
  <x:c r="H45" i="16"/>
  <x:c r="H49" i="16"/>
  <x:c r="F51" i="16"/>
  <x:c r="G51" i="16"/>
  <x:c r="H51" i="16"/>
  <x:c r="F52" i="16"/>
  <x:c r="G52" i="16"/>
  <x:c r="H52" i="16"/>
  <x:c r="F53" i="16"/>
  <x:c r="G53" i="16"/>
  <x:c r="H53" i="16"/>
  <x:c r="F54" i="16"/>
  <x:c r="G54" i="16"/>
  <x:c r="H54" i="16"/>
  <x:c r="F55" i="16"/>
  <x:c r="G55" i="16"/>
  <x:c r="H55" i="16"/>
  <x:c r="H56" i="16"/>
  <x:c r="H59" i="16"/>
  <x:c r="H60" i="16"/>
  <x:c r="H42" i="17"/>
  <x:c r="H44" i="17"/>
  <x:c r="F45" i="17"/>
  <x:c r="G45" i="17"/>
  <x:c r="H45" i="17"/>
  <x:c r="F46" i="17"/>
  <x:c r="G46" i="17"/>
  <x:c r="H46" i="17"/>
  <x:c r="F47" i="17"/>
  <x:c r="G47" i="17"/>
  <x:c r="H47" i="17"/>
  <x:c r="H48" i="17"/>
  <x:c r="F49" i="17"/>
  <x:c r="G49" i="17"/>
  <x:c r="H49" i="17"/>
  <x:c r="F52" i="17"/>
  <x:c r="G52" i="17"/>
  <x:c r="H52" i="17"/>
  <x:c r="H56" i="17"/>
  <x:c r="F58" i="17"/>
  <x:c r="G58" i="17"/>
  <x:c r="H58" i="17"/>
  <x:c r="F59" i="17"/>
  <x:c r="G59" i="17"/>
  <x:c r="H59" i="17"/>
  <x:c r="F60" i="17"/>
  <x:c r="G60" i="17"/>
  <x:c r="H60" i="17"/>
  <x:c r="F61" i="17"/>
  <x:c r="G61" i="17"/>
  <x:c r="H61" i="17"/>
  <x:c r="F62" i="17"/>
  <x:c r="G62" i="17"/>
  <x:c r="H62" i="17"/>
  <x:c r="H63" i="17"/>
  <x:c r="H66" i="17"/>
  <x:c r="H67" i="17"/>
  <x:c r="H50" i="18"/>
  <x:c r="H52" i="18"/>
  <x:c r="F53" i="18"/>
  <x:c r="G53" i="18"/>
  <x:c r="H53" i="18"/>
  <x:c r="F54" i="18"/>
  <x:c r="G54" i="18"/>
  <x:c r="H54" i="18"/>
  <x:c r="F55" i="18"/>
  <x:c r="G55" i="18"/>
  <x:c r="H55" i="18"/>
  <x:c r="H56" i="18"/>
  <x:c r="F57" i="18"/>
  <x:c r="G57" i="18"/>
  <x:c r="H57" i="18"/>
  <x:c r="F60" i="18"/>
  <x:c r="G60" i="18"/>
  <x:c r="H60" i="18"/>
  <x:c r="H64" i="18"/>
  <x:c r="F66" i="18"/>
  <x:c r="G66" i="18"/>
  <x:c r="H66" i="18"/>
  <x:c r="F67" i="18"/>
  <x:c r="G67" i="18"/>
  <x:c r="H67" i="18"/>
  <x:c r="F68" i="18"/>
  <x:c r="G68" i="18"/>
  <x:c r="H68" i="18"/>
  <x:c r="F69" i="18"/>
  <x:c r="G69" i="18"/>
  <x:c r="H69" i="18"/>
  <x:c r="F70" i="18"/>
  <x:c r="G70" i="18"/>
  <x:c r="H70" i="18"/>
  <x:c r="H71" i="18"/>
  <x:c r="H74" i="18"/>
  <x:c r="H75" i="18"/>
  <x:c r="H41" i="19"/>
  <x:c r="H43" i="19"/>
  <x:c r="F44" i="19"/>
  <x:c r="G44" i="19"/>
  <x:c r="H44" i="19"/>
  <x:c r="F45" i="19"/>
  <x:c r="G45" i="19"/>
  <x:c r="H45" i="19"/>
  <x:c r="F46" i="19"/>
  <x:c r="G46" i="19"/>
  <x:c r="H46" i="19"/>
  <x:c r="H47" i="19"/>
  <x:c r="F48" i="19"/>
  <x:c r="G48" i="19"/>
  <x:c r="H48" i="19"/>
  <x:c r="F49" i="19"/>
  <x:c r="G49" i="19"/>
  <x:c r="H49" i="19"/>
  <x:c r="F50" i="19"/>
  <x:c r="G50" i="19"/>
  <x:c r="H50" i="19"/>
  <x:c r="F51" i="19"/>
  <x:c r="G51" i="19"/>
  <x:c r="H51" i="19"/>
  <x:c r="H55" i="19"/>
  <x:c r="F57" i="19"/>
  <x:c r="G57" i="19"/>
  <x:c r="H57" i="19"/>
  <x:c r="F59" i="19"/>
  <x:c r="G59" i="19"/>
  <x:c r="H59" i="19"/>
  <x:c r="F60" i="19"/>
  <x:c r="G60" i="19"/>
  <x:c r="H60" i="19"/>
  <x:c r="F61" i="19"/>
  <x:c r="G61" i="19"/>
  <x:c r="H61" i="19"/>
  <x:c r="H62" i="19"/>
  <x:c r="H65" i="19"/>
  <x:c r="H66" i="19"/>
  <x:c r="H41" i="20"/>
  <x:c r="H43" i="20"/>
  <x:c r="F44" i="20"/>
  <x:c r="G44" i="20"/>
  <x:c r="H44" i="20"/>
  <x:c r="F45" i="20"/>
  <x:c r="G45" i="20"/>
  <x:c r="H45" i="20"/>
  <x:c r="F46" i="20"/>
  <x:c r="G46" i="20"/>
  <x:c r="H46" i="20"/>
  <x:c r="H47" i="20"/>
  <x:c r="F48" i="20"/>
  <x:c r="G48" i="20"/>
  <x:c r="H48" i="20"/>
  <x:c r="F50" i="20"/>
  <x:c r="G50" i="20"/>
  <x:c r="H50" i="20"/>
  <x:c r="F51" i="20"/>
  <x:c r="G51" i="20"/>
  <x:c r="H51" i="20"/>
  <x:c r="F53" i="20"/>
  <x:c r="G53" i="20"/>
  <x:c r="H53" i="20"/>
  <x:c r="F54" i="20"/>
  <x:c r="G54" i="20"/>
  <x:c r="H54" i="20"/>
  <x:c r="H55" i="20"/>
  <x:c r="F57" i="20"/>
  <x:c r="G57" i="20"/>
  <x:c r="H57" i="20"/>
  <x:c r="F58" i="20"/>
  <x:c r="G58" i="20"/>
  <x:c r="H58" i="20"/>
  <x:c r="F59" i="20"/>
  <x:c r="G59" i="20"/>
  <x:c r="H59" i="20"/>
  <x:c r="F60" i="20"/>
  <x:c r="G60" i="20"/>
  <x:c r="H60" i="20"/>
  <x:c r="F61" i="20"/>
  <x:c r="G61" i="20"/>
  <x:c r="H61" i="20"/>
  <x:c r="H62" i="20"/>
  <x:c r="H65" i="20"/>
  <x:c r="H66" i="20"/>
  <x:c r="H35" i="21"/>
  <x:c r="H37" i="21"/>
  <x:c r="F38" i="21"/>
  <x:c r="G38" i="21"/>
  <x:c r="H38" i="21"/>
  <x:c r="F39" i="21"/>
  <x:c r="G39" i="21"/>
  <x:c r="H39" i="21"/>
  <x:c r="F40" i="21"/>
  <x:c r="G40" i="21"/>
  <x:c r="H40" i="21"/>
  <x:c r="H41" i="21"/>
  <x:c r="F42" i="21"/>
  <x:c r="G42" i="21"/>
  <x:c r="H42" i="21"/>
  <x:c r="F45" i="21"/>
  <x:c r="G45" i="21"/>
  <x:c r="H45" i="21"/>
  <x:c r="H49" i="21"/>
  <x:c r="F51" i="21"/>
  <x:c r="G51" i="21"/>
  <x:c r="H51" i="21"/>
  <x:c r="F53" i="21"/>
  <x:c r="G53" i="21"/>
  <x:c r="H53" i="21"/>
  <x:c r="F54" i="21"/>
  <x:c r="G54" i="21"/>
  <x:c r="H54" i="21"/>
  <x:c r="F55" i="21"/>
  <x:c r="G55" i="21"/>
  <x:c r="H55" i="21"/>
  <x:c r="H56" i="21"/>
  <x:c r="H59" i="21"/>
  <x:c r="H60" i="21"/>
  <x:c r="H32" i="22"/>
  <x:c r="H34" i="22"/>
  <x:c r="F35" i="22"/>
  <x:c r="G35" i="22"/>
  <x:c r="H35" i="22"/>
  <x:c r="F37" i="22"/>
  <x:c r="G37" i="22"/>
  <x:c r="H37" i="22"/>
  <x:c r="H38" i="22"/>
  <x:c r="F39" i="22"/>
  <x:c r="G39" i="22"/>
  <x:c r="H39" i="22"/>
  <x:c r="F40" i="22"/>
  <x:c r="G40" i="22"/>
  <x:c r="H40" i="22"/>
  <x:c r="F42" i="22"/>
  <x:c r="G42" i="22"/>
  <x:c r="H42" i="22"/>
  <x:c r="H46" i="22"/>
  <x:c r="F48" i="22"/>
  <x:c r="G48" i="22"/>
  <x:c r="H48" i="22"/>
  <x:c r="F50" i="22"/>
  <x:c r="G50" i="22"/>
  <x:c r="H50" i="22"/>
  <x:c r="F51" i="22"/>
  <x:c r="G51" i="22"/>
  <x:c r="H51" i="22"/>
  <x:c r="H53" i="22"/>
  <x:c r="H56" i="22"/>
  <x:c r="H57" i="22"/>
  <x:c r="H36" i="23"/>
  <x:c r="H38" i="23"/>
  <x:c r="F39" i="23"/>
  <x:c r="G39" i="23"/>
  <x:c r="H39" i="23"/>
  <x:c r="F41" i="23"/>
  <x:c r="G41" i="23"/>
  <x:c r="H41" i="23"/>
  <x:c r="H42" i="23"/>
  <x:c r="F43" i="23"/>
  <x:c r="G43" i="23"/>
  <x:c r="H43" i="23"/>
  <x:c r="F44" i="23"/>
  <x:c r="G44" i="23"/>
  <x:c r="H44" i="23"/>
  <x:c r="F46" i="23"/>
  <x:c r="G46" i="23"/>
  <x:c r="H46" i="23"/>
  <x:c r="H50" i="23"/>
  <x:c r="F52" i="23"/>
  <x:c r="G52" i="23"/>
  <x:c r="H52" i="23"/>
  <x:c r="F53" i="23"/>
  <x:c r="G53" i="23"/>
  <x:c r="H53" i="23"/>
  <x:c r="F54" i="23"/>
  <x:c r="G54" i="23"/>
  <x:c r="H54" i="23"/>
  <x:c r="F55" i="23"/>
  <x:c r="G55" i="23"/>
  <x:c r="H55" i="23"/>
  <x:c r="F56" i="23"/>
  <x:c r="G56" i="23"/>
  <x:c r="H56" i="23"/>
  <x:c r="H57" i="23"/>
  <x:c r="H60" i="23"/>
  <x:c r="H61" i="23"/>
  <x:c r="H49" i="24"/>
  <x:c r="H51" i="24"/>
  <x:c r="F52" i="24"/>
  <x:c r="G52" i="24"/>
  <x:c r="H52" i="24"/>
  <x:c r="F53" i="24"/>
  <x:c r="G53" i="24"/>
  <x:c r="H53" i="24"/>
  <x:c r="F54" i="24"/>
  <x:c r="G54" i="24"/>
  <x:c r="H54" i="24"/>
  <x:c r="H55" i="24"/>
  <x:c r="F56" i="24"/>
  <x:c r="G56" i="24"/>
  <x:c r="H56" i="24"/>
  <x:c r="F59" i="24"/>
  <x:c r="G59" i="24"/>
  <x:c r="H59" i="24"/>
  <x:c r="F60" i="24"/>
  <x:c r="G60" i="24"/>
  <x:c r="H60" i="24"/>
  <x:c r="H63" i="24"/>
  <x:c r="F65" i="24"/>
  <x:c r="G65" i="24"/>
  <x:c r="H65" i="24"/>
  <x:c r="F66" i="24"/>
  <x:c r="G66" i="24"/>
  <x:c r="H66" i="24"/>
  <x:c r="F67" i="24"/>
  <x:c r="G67" i="24"/>
  <x:c r="H67" i="24"/>
  <x:c r="F68" i="24"/>
  <x:c r="G68" i="24"/>
  <x:c r="H68" i="24"/>
  <x:c r="F69" i="24"/>
  <x:c r="G69" i="24"/>
  <x:c r="H69" i="24"/>
  <x:c r="H70" i="24"/>
  <x:c r="H73" i="24"/>
  <x:c r="H74" i="24"/>
  <x:c r="H38" i="25"/>
  <x:c r="H40" i="25"/>
  <x:c r="F41" i="25"/>
  <x:c r="G41" i="25"/>
  <x:c r="H41" i="25"/>
  <x:c r="F42" i="25"/>
  <x:c r="G42" i="25"/>
  <x:c r="H42" i="25"/>
  <x:c r="F43" i="25"/>
  <x:c r="G43" i="25"/>
  <x:c r="H43" i="25"/>
  <x:c r="H44" i="25"/>
  <x:c r="F45" i="25"/>
  <x:c r="G45" i="25"/>
  <x:c r="H45" i="25"/>
  <x:c r="F46" i="25"/>
  <x:c r="G46" i="25"/>
  <x:c r="H46" i="25"/>
  <x:c r="F48" i="25"/>
  <x:c r="G48" i="25"/>
  <x:c r="H48" i="25"/>
  <x:c r="H52" i="25"/>
  <x:c r="F54" i="25"/>
  <x:c r="G54" i="25"/>
  <x:c r="H54" i="25"/>
  <x:c r="F56" i="25"/>
  <x:c r="G56" i="25"/>
  <x:c r="H56" i="25"/>
  <x:c r="F57" i="25"/>
  <x:c r="G57" i="25"/>
  <x:c r="H57" i="25"/>
  <x:c r="F58" i="25"/>
  <x:c r="G58" i="25"/>
  <x:c r="H58" i="25"/>
  <x:c r="H59" i="25"/>
  <x:c r="H62" i="25"/>
  <x:c r="H63" i="25"/>
  <x:c r="H29" i="26"/>
  <x:c r="H31" i="26"/>
  <x:c r="F32" i="26"/>
  <x:c r="G32" i="26"/>
  <x:c r="H32" i="26"/>
  <x:c r="F33" i="26"/>
  <x:c r="G33" i="26"/>
  <x:c r="H33" i="26"/>
  <x:c r="F34" i="26"/>
  <x:c r="G34" i="26"/>
  <x:c r="H34" i="26"/>
  <x:c r="H35" i="26"/>
  <x:c r="F36" i="26"/>
  <x:c r="G36" i="26"/>
  <x:c r="H36" i="26"/>
  <x:c r="F39" i="26"/>
  <x:c r="G39" i="26"/>
  <x:c r="H39" i="26"/>
  <x:c r="H43" i="26"/>
  <x:c r="F45" i="26"/>
  <x:c r="G45" i="26"/>
  <x:c r="H45" i="26"/>
  <x:c r="F47" i="26"/>
  <x:c r="G47" i="26"/>
  <x:c r="H47" i="26"/>
  <x:c r="F48" i="26"/>
  <x:c r="G48" i="26"/>
  <x:c r="H48" i="26"/>
  <x:c r="F49" i="26"/>
  <x:c r="G49" i="26"/>
  <x:c r="H49" i="26"/>
  <x:c r="H50" i="26"/>
  <x:c r="H53" i="26"/>
  <x:c r="H54" i="26"/>
  <x:c r="H35" i="27"/>
  <x:c r="H37" i="27"/>
  <x:c r="F38" i="27"/>
  <x:c r="G38" i="27"/>
  <x:c r="H38" i="27"/>
  <x:c r="F39" i="27"/>
  <x:c r="G39" i="27"/>
  <x:c r="H39" i="27"/>
  <x:c r="F40" i="27"/>
  <x:c r="G40" i="27"/>
  <x:c r="H40" i="27"/>
  <x:c r="H41" i="27"/>
  <x:c r="F42" i="27"/>
  <x:c r="G42" i="27"/>
  <x:c r="H42" i="27"/>
  <x:c r="F45" i="27"/>
  <x:c r="G45" i="27"/>
  <x:c r="H45" i="27"/>
  <x:c r="H49" i="27"/>
  <x:c r="F51" i="27"/>
  <x:c r="G51" i="27"/>
  <x:c r="H51" i="27"/>
  <x:c r="F54" i="27"/>
  <x:c r="G54" i="27"/>
  <x:c r="H54" i="27"/>
  <x:c r="F55" i="27"/>
  <x:c r="G55" i="27"/>
  <x:c r="H55" i="27"/>
  <x:c r="H56" i="27"/>
  <x:c r="H59" i="27"/>
  <x:c r="H60" i="27"/>
  <x:c r="H35" i="28"/>
  <x:c r="H37" i="28"/>
  <x:c r="F38" i="28"/>
  <x:c r="G38" i="28"/>
  <x:c r="H38" i="28"/>
  <x:c r="F40" i="28"/>
  <x:c r="G40" i="28"/>
  <x:c r="H40" i="28"/>
  <x:c r="H41" i="28"/>
  <x:c r="F42" i="28"/>
  <x:c r="G42" i="28"/>
  <x:c r="H42" i="28"/>
  <x:c r="F43" i="28"/>
  <x:c r="G43" i="28"/>
  <x:c r="H43" i="28"/>
  <x:c r="F44" i="28"/>
  <x:c r="G44" i="28"/>
  <x:c r="H44" i="28"/>
  <x:c r="F46" i="28"/>
  <x:c r="G46" i="28"/>
  <x:c r="H46" i="28"/>
  <x:c r="F47" i="28"/>
  <x:c r="G47" i="28"/>
  <x:c r="H47" i="28"/>
  <x:c r="F48" i="28"/>
  <x:c r="G48" i="28"/>
  <x:c r="H48" i="28"/>
  <x:c r="H49" i="28"/>
  <x:c r="F51" i="28"/>
  <x:c r="G51" i="28"/>
  <x:c r="H51" i="28"/>
  <x:c r="F54" i="28"/>
  <x:c r="G54" i="28"/>
  <x:c r="H54" i="28"/>
  <x:c r="H56" i="28"/>
  <x:c r="H59" i="28"/>
  <x:c r="H60" i="28"/>
  <x:c r="H40" i="29"/>
  <x:c r="H42" i="29"/>
  <x:c r="F43" i="29"/>
  <x:c r="G43" i="29"/>
  <x:c r="H43" i="29"/>
  <x:c r="F45" i="29"/>
  <x:c r="G45" i="29"/>
  <x:c r="H45" i="29"/>
  <x:c r="H46" i="29"/>
  <x:c r="F47" i="29"/>
  <x:c r="G47" i="29"/>
  <x:c r="H47" i="29"/>
  <x:c r="F50" i="29"/>
  <x:c r="G50" i="29"/>
  <x:c r="H50" i="29"/>
  <x:c r="F51" i="29"/>
  <x:c r="G51" i="29"/>
  <x:c r="H51" i="29"/>
  <x:c r="H54" i="29"/>
  <x:c r="F56" i="29"/>
  <x:c r="G56" i="29"/>
  <x:c r="H56" i="29"/>
  <x:c r="F58" i="29"/>
  <x:c r="G58" i="29"/>
  <x:c r="H58" i="29"/>
  <x:c r="F59" i="29"/>
  <x:c r="G59" i="29"/>
  <x:c r="H59" i="29"/>
  <x:c r="F60" i="29"/>
  <x:c r="G60" i="29"/>
  <x:c r="H60" i="29"/>
  <x:c r="H61" i="29"/>
  <x:c r="H64" i="29"/>
  <x:c r="H65" i="29"/>
  <x:c r="H41" i="30"/>
  <x:c r="H43" i="30"/>
  <x:c r="F44" i="30"/>
  <x:c r="G44" i="30"/>
  <x:c r="H44" i="30"/>
  <x:c r="F45" i="30"/>
  <x:c r="G45" i="30"/>
  <x:c r="H45" i="30"/>
  <x:c r="F46" i="30"/>
  <x:c r="G46" i="30"/>
  <x:c r="H46" i="30"/>
  <x:c r="H47" i="30"/>
  <x:c r="F48" i="30"/>
  <x:c r="G48" i="30"/>
  <x:c r="H48" i="30"/>
  <x:c r="F50" i="30"/>
  <x:c r="G50" i="30"/>
  <x:c r="H50" i="30"/>
  <x:c r="F51" i="30"/>
  <x:c r="G51" i="30"/>
  <x:c r="H51" i="30"/>
  <x:c r="F52" i="30"/>
  <x:c r="G52" i="30"/>
  <x:c r="H52" i="30"/>
  <x:c r="H55" i="30"/>
  <x:c r="F57" i="30"/>
  <x:c r="G57" i="30"/>
  <x:c r="H57" i="30"/>
  <x:c r="F60" i="30"/>
  <x:c r="G60" i="30"/>
  <x:c r="H60" i="30"/>
  <x:c r="F61" i="30"/>
  <x:c r="G61" i="30"/>
  <x:c r="H61" i="30"/>
  <x:c r="H62" i="30"/>
  <x:c r="H65" i="30"/>
  <x:c r="H66" i="30"/>
</x:calcChain>
</file>

<file path=xl/sharedStrings.xml><?xml version="1.0" encoding="utf-8"?>
<x:sst xmlns:x="http://schemas.openxmlformats.org/spreadsheetml/2006/main">
  <x:si>
    <x:t>N</x:t>
  </x:si>
  <x:si>
    <x:t>Номенклатура</x:t>
  </x:si>
  <x:si>
    <x:t>Прослеживаемый товар</x:t>
  </x:si>
  <x:si>
    <x:t>Единица</x:t>
  </x:si>
  <x:si>
    <x:t>К.</x:t>
  </x:si>
  <x:si>
    <x:t>Количество</x:t>
  </x:si>
  <x:si>
    <x:t>Цена</x:t>
  </x:si>
  <x:si>
    <x:t>Сумма</x:t>
  </x:si>
  <x:si>
    <x:t>% НДС</x:t>
  </x:si>
  <x:si>
    <x:t>НДС</x:t>
  </x:si>
  <x:si>
    <x:t>Всего</x:t>
  </x:si>
  <x:si>
    <x:t>Счет учета</x:t>
  </x:si>
  <x:si>
    <x:t>Счет учета НДС</x:t>
  </x:si>
  <x:si>
    <x:t>Счет доходов</x:t>
  </x:si>
  <x:si>
    <x:t>Субконто</x:t>
  </x:si>
  <x:si>
    <x:t>Счет расходов</x:t>
  </x:si>
  <x:si>
    <x:t>Страна происхождения</x:t>
  </x:si>
  <x:si>
    <x:t>Подсказка РНПТ</x:t>
  </x:si>
  <x:si>
    <x:t>РНПТ</x:t>
  </x:si>
  <x:si>
    <x:t>Отступ</x:t>
  </x:si>
  <x:si>
    <x:t>Американо</x:t>
  </x:si>
  <x:si>
    <x:t>Нет</x:t>
  </x:si>
  <x:si>
    <x:t>шт</x:t>
  </x:si>
  <x:si>
    <x:t>Без НДС</x:t>
  </x:si>
  <x:si>
    <x:t>41.01</x:t>
  </x:si>
  <x:si>
    <x:t>90.03</x:t>
  </x:si>
  <x:si>
    <x:t>90.01.1</x:t>
  </x:si>
  <x:si>
    <x:t>90.02.1</x:t>
  </x:si>
  <x:si>
    <x:t>Большой чайник чая</x:t>
  </x:si>
  <x:si>
    <x:t>Дабл американо/фильтр кофе</x:t>
  </x:si>
  <x:si>
    <x:t>Дабл капучино</x:t>
  </x:si>
  <x:si>
    <x:t>Доп эспрессо</x:t>
  </x:si>
  <x:si>
    <x:t>Дрип пакеты поштучно</x:t>
  </x:si>
  <x:si>
    <x:t>Зерно Папуа Новая Гвинея</x:t>
  </x:si>
  <x:si>
    <x:t>кг</x:t>
  </x:si>
  <x:si>
    <x:t>Зерно Эфиопия Ирга Чеффе</x:t>
  </x:si>
  <x:si>
    <x:t>Зимний шмель</x:t>
  </x:si>
  <x:si>
    <x:t>Какао/горячий шоколад спешиалти</x:t>
  </x:si>
  <x:si>
    <x:t>Капсулы Гармония</x:t>
  </x:si>
  <x:si>
    <x:t>Капучино</x:t>
  </x:si>
  <x:si>
    <x:t>Кедровый капучино Дабл</x:t>
  </x:si>
  <x:si>
    <x:t>Кедровый капучино маленький</x:t>
  </x:si>
  <x:si>
    <x:t>Кекс лимон мак Жирнова</x:t>
  </x:si>
  <x:si>
    <x:t>Кекс шоколадный Жирнова</x:t>
  </x:si>
  <x:si>
    <x:t>Конфетка</x:t>
  </x:si>
  <x:si>
    <x:t>Круассан</x:t>
  </x:si>
  <x:si>
    <x:t>Круассан с начинкой</x:t>
  </x:si>
  <x:si>
    <x:t>Латте</x:t>
  </x:si>
  <x:si>
    <x:t>Масала</x:t>
  </x:si>
  <x:si>
    <x:t>Масала напиток</x:t>
  </x:si>
  <x:si>
    <x:t>Пекан в кленовом сиропе</x:t>
  </x:si>
  <x:si>
    <x:t>Растительное молоко добавка</x:t>
  </x:si>
  <x:si>
    <x:t>Раф</x:t>
  </x:si>
  <x:si>
    <x:t>Сироп добавка</x:t>
  </x:si>
  <x:si>
    <x:t>Сырники</x:t>
  </x:si>
  <x:si>
    <x:t>Сэндвич 350</x:t>
  </x:si>
  <x:si>
    <x:t>Торт медовик</x:t>
  </x:si>
  <x:si>
    <x:t>Фильтр кофе</x:t>
  </x:si>
  <x:si>
    <x:t>Флэт Уайт</x:t>
  </x:si>
  <x:si>
    <x:t>Шу Сян Люй</x:t>
  </x:si>
  <x:si>
    <x:t>Эспрессо</x:t>
  </x:si>
  <x:si>
    <x:t>Альтернатива на моносорте</x:t>
  </x:si>
  <x:si>
    <x:t>Зерно Вьетнам</x:t>
  </x:si>
  <x:si>
    <x:t>Зерно Колумбия Лима</x:t>
  </x:si>
  <x:si>
    <x:t>Зерно Коста-Рика</x:t>
  </x:si>
  <x:si>
    <x:t>Зерно Марагоджип Гватемала</x:t>
  </x:si>
  <x:si>
    <x:t>Зерно Марагоджип Никарагуа</x:t>
  </x:si>
  <x:si>
    <x:t>Зерно Мексика</x:t>
  </x:si>
  <x:si>
    <x:t>Зерно Перу</x:t>
  </x:si>
  <x:si>
    <x:t>Йогин</x:t>
  </x:si>
  <x:si>
    <x:t>Какао</x:t>
  </x:si>
  <x:si>
    <x:t>Маленький чайник чая</x:t>
  </x:si>
  <x:si>
    <x:t>Молоко добавка</x:t>
  </x:si>
  <x:si>
    <x:t>Эрл Грей</x:t>
  </x:si>
  <x:si>
    <x:t>Горячий шоколад</x:t>
  </x:si>
  <x:si>
    <x:t>Горячий шоколад СТРД</x:t>
  </x:si>
  <x:si>
    <x:t>Зерно Бурбон Бразилия</x:t>
  </x:si>
  <x:si>
    <x:t>Зерно Гватемала</x:t>
  </x:si>
  <x:si>
    <x:t>Зерно Гондурас</x:t>
  </x:si>
  <x:si>
    <x:t>Зерно Дон Педро</x:t>
  </x:si>
  <x:si>
    <x:t>Зерно Индия</x:t>
  </x:si>
  <x:si>
    <x:t>Зерно Кения</x:t>
  </x:si>
  <x:si>
    <x:t>Зерно Колумбия Ля Фамилия микролот</x:t>
  </x:si>
  <x:si>
    <x:t>Зерно Оптимум</x:t>
  </x:si>
  <x:si>
    <x:t>Какао Гондурас 300 гр</x:t>
  </x:si>
  <x:si>
    <x:t>Кружка с узорами 400 мл</x:t>
  </x:si>
  <x:si>
    <x:t>Лумбини, Шри-Ланка, 50 гр</x:t>
  </x:si>
  <x:si>
    <x:t>Ристретто</x:t>
  </x:si>
  <x:si>
    <x:t>Сенча Икэ, Япония, 50 гр</x:t>
  </x:si>
  <x:si>
    <x:t>Шоколад Кафема маленький</x:t>
  </x:si>
  <x:si>
    <x:t>Эспрессо/фильтр-кофе СТРД</x:t>
  </x:si>
  <x:si>
    <x:t>Альтернатива на микролоте</x:t>
  </x:si>
  <x:si>
    <x:t>Зерно Ипанема Бразилия</x:t>
  </x:si>
  <x:si>
    <x:t>Зерно Куба</x:t>
  </x:si>
  <x:si>
    <x:t>Какао СПЕШИАЛ СТРД</x:t>
  </x:si>
  <x:si>
    <x:t>Матча латте</x:t>
  </x:si>
  <x:si>
    <x:t>Огненный бутон чай</x:t>
  </x:si>
  <x:si>
    <x:t>Растительное молоко/мороженое 1 шарик СТРД</x:t>
  </x:si>
  <x:si>
    <x:t>Цейлон ОР</x:t>
  </x:si>
  <x:si>
    <x:t>Алишань улун</x:t>
  </x:si>
  <x:si>
    <x:t>Брусничная поляна</x:t>
  </x:si>
  <x:si>
    <x:t>Зерно Колумбия</x:t>
  </x:si>
  <x:si>
    <x:t>Зерно Руанда микролот</x:t>
  </x:si>
  <x:si>
    <x:t>Капсулы Табако</x:t>
  </x:si>
  <x:si>
    <x:t>Лесная малина</x:t>
  </x:si>
  <x:si>
    <x:t>Лунный свет</x:t>
  </x:si>
  <x:si>
    <x:t>Моли Хуа Ча</x:t>
  </x:si>
  <x:si>
    <x:t>Молочный улун</x:t>
  </x:si>
  <x:si>
    <x:t>Оранжевое солнце</x:t>
  </x:si>
  <x:si>
    <x:t>Открытка Кафема</x:t>
  </x:si>
  <x:si>
    <x:t>Фильтры December 100 шт</x:t>
  </x:si>
  <x:si>
    <x:t>Шу Пуэр</x:t>
  </x:si>
  <x:si>
    <x:t>Айс латте</x:t>
  </x:si>
  <x:si>
    <x:t>Бамбл</x:t>
  </x:si>
  <x:si>
    <x:t>Зерно Табако</x:t>
  </x:si>
  <x:si>
    <x:t>Те Гуань Инь улун</x:t>
  </x:si>
  <x:si>
    <x:t>Шоколад Кафема большой</x:t>
  </x:si>
  <x:si>
    <x:t>Габа</x:t>
  </x:si>
  <x:si>
    <x:t>Дрип пакеты Сальвадор</x:t>
  </x:si>
  <x:si>
    <x:t>Зерно Робуста</x:t>
  </x:si>
  <x:si>
    <x:t>Зерно Эфиопия Cup of Exc</x:t>
  </x:si>
  <x:si>
    <x:t>Гейша дрип пакеты поштучно</x:t>
  </x:si>
  <x:si>
    <x:t>Глинтвейн кофейный</x:t>
  </x:si>
  <x:si>
    <x:t>Зерно Индонезия</x:t>
  </x:si>
  <x:si>
    <x:t>Допингредиент</x:t>
  </x:si>
  <x:si>
    <x:t>Какао СТРД</x:t>
  </x:si>
  <x:si>
    <x:t>Канеле</x:t>
  </x:si>
  <x:si>
    <x:t>Кекс морковный Жирнова</x:t>
  </x:si>
  <x:si>
    <x:t>Спокойный вечер</x:t>
  </x:si>
  <x:si>
    <x:t>Фильтры бумажные Cafec T-90 100 шт</x:t>
  </x:si>
  <x:si>
    <x:t>Ягодный джем</x:t>
  </x:si>
  <x:si>
    <x:t>Австралийский лунго</x:t>
  </x:si>
  <x:si>
    <x:t>Английский завтрак</x:t>
  </x:si>
  <x:si>
    <x:t>Дрип пакеты Кения/Индонезия/Табако</x:t>
  </x:si>
  <x:si>
    <x:t>Зерно Декафинато</x:t>
  </x:si>
  <x:si>
    <x:t>Лунго</x:t>
  </x:si>
  <x:si>
    <x:t>Ройбуш</x:t>
  </x:si>
  <x:si>
    <x:t>Ройбуш латте</x:t>
  </x:si>
  <x:si>
    <x:t>Эспрессо на микролоте</x:t>
  </x:si>
  <x:si>
    <x:t>Зерно Фантазия</x:t>
  </x:si>
  <x:si>
    <x:t>Какао Спешиал 300 гр</x:t>
  </x:si>
  <x:si>
    <x:t>Капсулы Сальвадор</x:t>
  </x:si>
  <x:si>
    <x:t>Каскара</x:t>
  </x:si>
  <x:si>
    <x:t>Айс матча латте</x:t>
  </x:si>
  <x:si>
    <x:t>Молоко/Сироп/ОрехиМед СТРД</x:t>
  </x:si>
  <x:si>
    <x:t>Мятная малина</x:t>
  </x:si>
  <x:si>
    <x:t>Новогодний подарок чай</x:t>
  </x:si>
  <x:si>
    <x:t>Гречишный чай</x:t>
  </x:si>
  <x:si>
    <x:t>Зерно Руанда</x:t>
  </x:si>
  <x:si>
    <x:t>Клубнично гречишный чай</x:t>
  </x:si>
  <x:si>
    <x:t>Дянь Хун</x:t>
  </x:si>
  <x:si>
    <x:t>Кофе с молоком СТРД</x:t>
  </x:si>
  <x:si>
    <x:t>Кения О-021</x:t>
  </x:si>
  <x:si>
    <x:t>Женьшень Улун</x:t>
  </x:si>
  <x:si>
    <x:t>Пряная радость</x:t>
  </x:si>
  <x:si>
    <x:t>Улитка с корицей</x:t>
  </x:si>
  <x:si>
    <x:t>Фруктовый поцелуй</x:t>
  </x:si>
  <x:si>
    <x:t>Гляссе</x:t>
  </x:si>
  <x:si>
    <x:t>Зеленые тропики</x:t>
  </x:si>
  <x:si>
    <x:t>Кекс лимонный ВВ</x:t>
  </x:si>
  <x:si>
    <x:t>Значок</x:t>
  </x:si>
  <x:si>
    <x:t>Кокейча</x:t>
  </x:si>
  <x:si>
    <x:t>Коробка подарочная</x:t>
  </x:si>
  <x:si>
    <x:t>БАР</x:t>
  </x:si>
  <x:si>
    <x:t>57%</x:t>
  </x:si>
  <x:si>
    <x:t>напитки</x:t>
  </x:si>
  <x:si>
    <x:t>напитки СТРД</x:t>
  </x:si>
  <x:si>
    <x:t>добавки</x:t>
  </x:si>
  <x:si>
    <x:t>Магазин</x:t>
  </x:si>
  <x:si>
    <x:t>19%</x:t>
  </x:si>
  <x:si>
    <x:t>Зерно</x:t>
  </x:si>
  <x:si>
    <x:t>Капсулы</x:t>
  </x:si>
  <x:si>
    <x:t>Дрипы</x:t>
  </x:si>
  <x:si>
    <x:t>Чай</x:t>
  </x:si>
  <x:si>
    <x:t>Аксессуары</x:t>
  </x:si>
  <x:si>
    <x:t>Шоколад, цветы, шоколад в зернах</x:t>
  </x:si>
  <x:si>
    <x:t>Еда</x:t>
  </x:si>
  <x:si>
    <x:t>24%</x:t>
  </x:si>
  <x:si>
    <x:t>Сандо</x:t>
  </x:si>
  <x:si>
    <x:t>Сэндвичи</x:t>
  </x:si>
  <x:si>
    <x:t>Пирожные</x:t>
  </x:si>
  <x:si>
    <x:t>Выпечка</x:t>
  </x:si>
  <x:si>
    <x:t>конфетка</x:t>
  </x:si>
  <x:si>
    <x:t>Мастер-классы</x:t>
  </x:si>
  <x:si>
    <x:t>мастер-класс</x:t>
  </x:si>
  <x:si>
    <x:t>сертификат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</x:si>
</x:sst>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0" formatCode=""/>
    <x:numFmt numFmtId="164" formatCode="0.00"/>
  </x:numFmts>
  <x:fonts count="5">
    <x:font>
      <x:sz val="12"/>
      <x:color theme="1"/>
      <x:name val="Calibri"/>
      <x:family val="2"/>
      <x:charset val="204"/>
      <x:scheme val="minor"/>
    </x:font>
    <x:font>
      <x:b/>
      <x:sz val="12"/>
      <x:color rgb="FF000000"/>
      <x:name val="Calibri"/>
      <x:family val="2"/>
      <x:scheme val="minor"/>
    </x:font>
    <x:font>
      <x:sz val="12"/>
      <x:color rgb="FF00000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  <x:font>
      <x:b/>
      <x:vertAlign val="baseline"/>
      <x:sz val="12"/>
      <x:color theme="1"/>
      <x:name val="Calibri"/>
      <x:family val="2"/>
      <x:charset val="204"/>
      <x:scheme val="minor"/>
    </x:font>
  </x:fonts>
  <x:fills count="6">
    <x:fill>
      <x:patternFill patternType="none"/>
    </x:fill>
    <x:fill>
      <x:patternFill patternType="gray125"/>
    </x:fill>
    <x:fill>
      <x:patternFill patternType="solid">
        <x:fgColor rgb="FFFFFF00"/>
        <x:bgColor indexed="64"/>
      </x:patternFill>
    </x:fill>
    <x:fill>
      <x:patternFill patternType="solid">
        <x:fgColor rgb="00B4E0C6"/>
      </x:patternFill>
    </x:fill>
    <x:fill>
      <x:patternFill patternType="solid">
        <x:fgColor rgb="00CCF2FF"/>
      </x:patternFill>
    </x:fill>
    <x:fill>
      <x:patternFill patternType="solid">
        <x:fgColor rgb="00FFFFFF"/>
      </x:patternFill>
    </x:fill>
  </x:fills>
  <x:borders count="2">
    <x:border>
      <x:left/>
      <x:right/>
      <x:top/>
      <x:bottom/>
      <x:diagonal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5">
    <x:xf numFmtId="0" fontId="0" fillId="0" borderId="0"/>
    <x:xf numFmtId="164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9" fontId="1" fillId="4" borderId="0" applyNumberFormat="1" applyFill="0" applyBorder="0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0" fontId="1" fillId="4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4" fillId="4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4" fontId="0" fillId="2" borderId="0" applyNumberFormat="1" applyFill="0" applyBorder="0" applyAlignment="1" applyProtection="1">
      <x:protection locked="1" hidden="0"/>
    </x:xf>
  </x:cellStyleXfs>
  <x:cellXfs count="25">
    <x:xf numFmtId="0" fontId="0" fillId="0" borderId="0" xfId="0"/>
    <x:xf numFmtId="0" fontId="0" fillId="2" borderId="0" xfId="0" applyFill="1"/>
    <x:xf numFmtId="0" fontId="0" fillId="0" borderId="0" xfId="0" applyFill="1" applyBorder="1"/>
    <x:xf numFmtId="0" fontId="1" fillId="0" borderId="0" xfId="0" applyFont="1" applyFill="1" applyBorder="1"/>
    <x:xf numFmtId="9" fontId="1" fillId="0" borderId="0" xfId="0" applyNumberFormat="1" applyFont="1" applyFill="1" applyBorder="1"/>
    <x:xf numFmtId="0" fontId="1" fillId="0" borderId="0" xfId="0" applyFont="1" applyFill="1" applyBorder="1" applyAlignment="1">
      <x:alignment horizontal="right"/>
    </x:xf>
    <x:xf numFmtId="0" fontId="2" fillId="0" borderId="0" xfId="0" applyFont="1" applyFill="1" applyBorder="1"/>
    <x:xf numFmtId="0" fontId="1" fillId="0" borderId="0" xfId="0" applyFont="1" applyFill="1" applyBorder="1" applyAlignment="1">
      <x:alignment horizontal="left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9" fontId="1" fillId="4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4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3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4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Обычный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3.xml" Id="rId13" /><Relationship Type="http://schemas.openxmlformats.org/officeDocument/2006/relationships/worksheet" Target="worksheets/sheet18.xml" Id="rId18" /><Relationship Type="http://schemas.openxmlformats.org/officeDocument/2006/relationships/worksheet" Target="worksheets/sheet26.xml" Id="rId26" /><Relationship Type="http://schemas.openxmlformats.org/officeDocument/2006/relationships/worksheet" Target="worksheets/sheet3.xml" Id="rId3" /><Relationship Type="http://schemas.openxmlformats.org/officeDocument/2006/relationships/worksheet" Target="worksheets/sheet21.xml" Id="rId21" /><Relationship Type="http://schemas.openxmlformats.org/officeDocument/2006/relationships/worksheet" Target="worksheets/sheet7.xml" Id="rId7" /><Relationship Type="http://schemas.openxmlformats.org/officeDocument/2006/relationships/worksheet" Target="worksheets/sheet12.xml" Id="rId12" /><Relationship Type="http://schemas.openxmlformats.org/officeDocument/2006/relationships/worksheet" Target="worksheets/sheet17.xml" Id="rId17" /><Relationship Type="http://schemas.openxmlformats.org/officeDocument/2006/relationships/worksheet" Target="worksheets/sheet25.xml" Id="rId25" /><Relationship Type="http://schemas.openxmlformats.org/officeDocument/2006/relationships/sharedStrings" Target="sharedStrings.xml" Id="rId33" /><Relationship Type="http://schemas.openxmlformats.org/officeDocument/2006/relationships/worksheet" Target="worksheets/sheet2.xml" Id="rId2" /><Relationship Type="http://schemas.openxmlformats.org/officeDocument/2006/relationships/worksheet" Target="worksheets/sheet16.xml" Id="rId16" /><Relationship Type="http://schemas.openxmlformats.org/officeDocument/2006/relationships/worksheet" Target="worksheets/sheet20.xml" Id="rId20" /><Relationship Type="http://schemas.openxmlformats.org/officeDocument/2006/relationships/worksheet" Target="worksheets/sheet29.xml" Id="rId29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11.xml" Id="rId11" /><Relationship Type="http://schemas.openxmlformats.org/officeDocument/2006/relationships/worksheet" Target="worksheets/sheet24.xml" Id="rId24" /><Relationship Type="http://schemas.openxmlformats.org/officeDocument/2006/relationships/styles" Target="styles.xml" Id="rId32" /><Relationship Type="http://schemas.openxmlformats.org/officeDocument/2006/relationships/worksheet" Target="worksheets/sheet5.xml" Id="rId5" /><Relationship Type="http://schemas.openxmlformats.org/officeDocument/2006/relationships/worksheet" Target="worksheets/sheet15.xml" Id="rId15" /><Relationship Type="http://schemas.openxmlformats.org/officeDocument/2006/relationships/worksheet" Target="worksheets/sheet23.xml" Id="rId23" /><Relationship Type="http://schemas.openxmlformats.org/officeDocument/2006/relationships/worksheet" Target="worksheets/sheet28.xml" Id="rId28" /><Relationship Type="http://schemas.openxmlformats.org/officeDocument/2006/relationships/worksheet" Target="worksheets/sheet10.xml" Id="rId10" /><Relationship Type="http://schemas.openxmlformats.org/officeDocument/2006/relationships/worksheet" Target="worksheets/sheet19.xml" Id="rId19" /><Relationship Type="http://schemas.openxmlformats.org/officeDocument/2006/relationships/theme" Target="theme/theme1.xml" Id="rId31" /><Relationship Type="http://schemas.openxmlformats.org/officeDocument/2006/relationships/worksheet" Target="worksheets/sheet4.xml" Id="rId4" /><Relationship Type="http://schemas.openxmlformats.org/officeDocument/2006/relationships/worksheet" Target="worksheets/sheet9.xml" Id="rId9" /><Relationship Type="http://schemas.openxmlformats.org/officeDocument/2006/relationships/worksheet" Target="worksheets/sheet14.xml" Id="rId14" /><Relationship Type="http://schemas.openxmlformats.org/officeDocument/2006/relationships/worksheet" Target="worksheets/sheet22.xml" Id="rId22" /><Relationship Type="http://schemas.openxmlformats.org/officeDocument/2006/relationships/worksheet" Target="worksheets/sheet27.xml" Id="rId27" /><Relationship Type="http://schemas.openxmlformats.org/officeDocument/2006/relationships/worksheet" Target="worksheets/sheet30.xml" Id="rId30" /><Relationship Type="http://schemas.openxmlformats.org/officeDocument/2006/relationships/worksheet" Target="worksheets/sheet8.xml" Id="rId8" /><Relationship Type="http://schemas.openxmlformats.org/officeDocument/2006/relationships/calcChain" Target="/xl/calcChain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D82C7B6-3047-8C4D-9DF3-F55C60F62A04}" mc:Ignorable="x14ac xr xr2 xr3">
  <x:sheetPr>
    <x:outlinePr summaryBelow="1" summaryRight="1"/>
  </x:sheetPr>
  <x:dimension ref="A1:T60"/>
  <x:sheetViews>
    <x:sheetView tabSelected="1" zoomScale="104" zoomScaleNormal="104" workbookViewId="0">
      <x:selection activeCell="A35" sqref="A35"/>
    </x:sheetView>
  </x:sheetViews>
  <x:sheetFormatPr defaultColWidth="11.210625" defaultRowHeight="15.75"/>
  <x:cols>
    <x:col min="1" max="1" width="11.210625" style="0" customWidth="1"/>
    <x:col min="2" max="2" width="34.125" style="0" customWidth="1"/>
    <x:col min="3" max="3" width="3.375" style="0" customWidth="1"/>
    <x:col min="4" max="4" width="3.125" style="0" customWidth="1"/>
    <x:col min="5" max="5" width="2.125" style="0" customWidth="1"/>
  </x:cols>
  <x:sheetData>
    <x:row r="1" spans="1:2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</x:row>
    <x:row r="2" spans="1:20">
      <x:c r="A2" s="0">
        <x:v>1</x:v>
      </x:c>
      <x:c r="B2" s="0" t="s">
        <x:v>20</x:v>
      </x:c>
      <x:c r="C2" s="0" t="s">
        <x:v>21</x:v>
      </x:c>
      <x:c r="D2" s="0" t="s">
        <x:v>22</x:v>
      </x:c>
      <x:c r="E2" s="0">
        <x:v>1</x:v>
      </x:c>
      <x:c r="F2" s="0">
        <x:v>2</x:v>
      </x:c>
      <x:c r="G2" s="8">
        <x:v>120.6</x:v>
      </x:c>
      <x:c r="H2" s="8">
        <x:v>241.19</x:v>
      </x:c>
      <x:c r="I2" s="0" t="s">
        <x:v>23</x:v>
      </x:c>
      <x:c r="K2" s="8">
        <x:v>241.19</x:v>
      </x:c>
      <x:c r="L2" s="0" t="s">
        <x:v>24</x:v>
      </x:c>
      <x:c r="M2" s="0" t="s">
        <x:v>25</x:v>
      </x:c>
      <x:c r="N2" s="0" t="s">
        <x:v>26</x:v>
      </x:c>
      <x:c r="P2" s="0" t="s">
        <x:v>27</x:v>
      </x:c>
    </x:row>
    <x:row r="3" spans="1:20">
      <x:c r="A3" s="0">
        <x:v>2</x:v>
      </x:c>
      <x:c r="B3" s="0" t="s">
        <x:v>28</x:v>
      </x:c>
      <x:c r="C3" s="0" t="s">
        <x:v>21</x:v>
      </x:c>
      <x:c r="D3" s="0" t="s">
        <x:v>22</x:v>
      </x:c>
      <x:c r="E3" s="0">
        <x:v>1</x:v>
      </x:c>
      <x:c r="F3" s="0">
        <x:v>1</x:v>
      </x:c>
      <x:c r="G3" s="8">
        <x:v>250</x:v>
      </x:c>
      <x:c r="H3" s="8">
        <x:v>250</x:v>
      </x:c>
      <x:c r="I3" s="0" t="s">
        <x:v>23</x:v>
      </x:c>
      <x:c r="K3" s="8">
        <x:v>250</x:v>
      </x:c>
      <x:c r="L3" s="0" t="s">
        <x:v>24</x:v>
      </x:c>
      <x:c r="M3" s="0" t="s">
        <x:v>25</x:v>
      </x:c>
      <x:c r="N3" s="0" t="s">
        <x:v>26</x:v>
      </x:c>
      <x:c r="P3" s="0" t="s">
        <x:v>27</x:v>
      </x:c>
    </x:row>
    <x:row r="4" spans="1:20">
      <x:c r="A4" s="0">
        <x:v>3</x:v>
      </x:c>
      <x:c r="B4" s="0" t="s">
        <x:v>29</x:v>
      </x:c>
      <x:c r="C4" s="0" t="s">
        <x:v>21</x:v>
      </x:c>
      <x:c r="D4" s="0" t="s">
        <x:v>22</x:v>
      </x:c>
      <x:c r="E4" s="0">
        <x:v>1</x:v>
      </x:c>
      <x:c r="F4" s="0">
        <x:v>2</x:v>
      </x:c>
      <x:c r="G4" s="8">
        <x:v>250</x:v>
      </x:c>
      <x:c r="H4" s="8">
        <x:v>500</x:v>
      </x:c>
      <x:c r="I4" s="0" t="s">
        <x:v>23</x:v>
      </x:c>
      <x:c r="K4" s="8">
        <x:v>500</x:v>
      </x:c>
      <x:c r="L4" s="0" t="s">
        <x:v>24</x:v>
      </x:c>
      <x:c r="M4" s="0" t="s">
        <x:v>25</x:v>
      </x:c>
      <x:c r="N4" s="0" t="s">
        <x:v>26</x:v>
      </x:c>
      <x:c r="P4" s="0" t="s">
        <x:v>27</x:v>
      </x:c>
    </x:row>
    <x:row r="5" spans="1:20">
      <x:c r="A5" s="0">
        <x:v>4</x:v>
      </x:c>
      <x:c r="B5" s="0" t="s">
        <x:v>30</x:v>
      </x:c>
      <x:c r="C5" s="0" t="s">
        <x:v>21</x:v>
      </x:c>
      <x:c r="D5" s="0" t="s">
        <x:v>22</x:v>
      </x:c>
      <x:c r="E5" s="0">
        <x:v>1</x:v>
      </x:c>
      <x:c r="F5" s="0">
        <x:v>7</x:v>
      </x:c>
      <x:c r="G5" s="8">
        <x:v>325.29</x:v>
      </x:c>
      <x:c r="H5" s="8">
        <x:v>2277</x:v>
      </x:c>
      <x:c r="I5" s="0" t="s">
        <x:v>23</x:v>
      </x:c>
      <x:c r="K5" s="8">
        <x:v>2277</x:v>
      </x:c>
      <x:c r="L5" s="0" t="s">
        <x:v>24</x:v>
      </x:c>
      <x:c r="M5" s="0" t="s">
        <x:v>25</x:v>
      </x:c>
      <x:c r="N5" s="0" t="s">
        <x:v>26</x:v>
      </x:c>
      <x:c r="P5" s="0" t="s">
        <x:v>27</x:v>
      </x:c>
    </x:row>
    <x:row r="6" spans="1:20">
      <x:c r="A6" s="0">
        <x:v>5</x:v>
      </x:c>
      <x:c r="B6" s="0" t="s">
        <x:v>31</x:v>
      </x:c>
      <x:c r="C6" s="0" t="s">
        <x:v>21</x:v>
      </x:c>
      <x:c r="D6" s="0" t="s">
        <x:v>22</x:v>
      </x:c>
      <x:c r="E6" s="0">
        <x:v>1</x:v>
      </x:c>
      <x:c r="F6" s="0">
        <x:v>1</x:v>
      </x:c>
      <x:c r="G6" s="8">
        <x:v>90</x:v>
      </x:c>
      <x:c r="H6" s="8">
        <x:v>90</x:v>
      </x:c>
      <x:c r="I6" s="0" t="s">
        <x:v>23</x:v>
      </x:c>
      <x:c r="K6" s="8">
        <x:v>90</x:v>
      </x:c>
      <x:c r="L6" s="0" t="s">
        <x:v>24</x:v>
      </x:c>
      <x:c r="M6" s="0" t="s">
        <x:v>25</x:v>
      </x:c>
      <x:c r="N6" s="0" t="s">
        <x:v>26</x:v>
      </x:c>
      <x:c r="P6" s="0" t="s">
        <x:v>27</x:v>
      </x:c>
    </x:row>
    <x:row r="7" spans="1:20">
      <x:c r="A7" s="0">
        <x:v>6</x:v>
      </x:c>
      <x:c r="B7" s="0" t="s">
        <x:v>32</x:v>
      </x:c>
      <x:c r="C7" s="0" t="s">
        <x:v>21</x:v>
      </x:c>
      <x:c r="D7" s="0" t="s">
        <x:v>22</x:v>
      </x:c>
      <x:c r="E7" s="0">
        <x:v>1</x:v>
      </x:c>
      <x:c r="F7" s="0">
        <x:v>3</x:v>
      </x:c>
      <x:c r="G7" s="8">
        <x:v>80</x:v>
      </x:c>
      <x:c r="H7" s="8">
        <x:v>240</x:v>
      </x:c>
      <x:c r="I7" s="0" t="s">
        <x:v>23</x:v>
      </x:c>
      <x:c r="K7" s="8">
        <x:v>240</x:v>
      </x:c>
      <x:c r="L7" s="0" t="s">
        <x:v>24</x:v>
      </x:c>
      <x:c r="M7" s="0" t="s">
        <x:v>25</x:v>
      </x:c>
      <x:c r="N7" s="0" t="s">
        <x:v>26</x:v>
      </x:c>
      <x:c r="P7" s="0" t="s">
        <x:v>27</x:v>
      </x:c>
    </x:row>
    <x:row r="8" spans="1:20">
      <x:c r="A8" s="0">
        <x:v>7</x:v>
      </x:c>
      <x:c r="B8" s="0" t="s">
        <x:v>33</x:v>
      </x:c>
      <x:c r="C8" s="0" t="s">
        <x:v>21</x:v>
      </x:c>
      <x:c r="D8" s="0" t="s">
        <x:v>34</x:v>
      </x:c>
      <x:c r="E8" s="0">
        <x:v>1</x:v>
      </x:c>
      <x:c r="F8" s="0">
        <x:v>0.2</x:v>
      </x:c>
      <x:c r="G8" s="8">
        <x:v>3580</x:v>
      </x:c>
      <x:c r="H8" s="8">
        <x:v>716</x:v>
      </x:c>
      <x:c r="I8" s="0" t="s">
        <x:v>23</x:v>
      </x:c>
      <x:c r="K8" s="8">
        <x:v>716</x:v>
      </x:c>
      <x:c r="L8" s="0" t="s">
        <x:v>24</x:v>
      </x:c>
      <x:c r="M8" s="0" t="s">
        <x:v>25</x:v>
      </x:c>
      <x:c r="N8" s="0" t="s">
        <x:v>26</x:v>
      </x:c>
      <x:c r="P8" s="0" t="s">
        <x:v>27</x:v>
      </x:c>
    </x:row>
    <x:row r="9" spans="1:20">
      <x:c r="A9" s="0">
        <x:v>8</x:v>
      </x:c>
      <x:c r="B9" s="0" t="s">
        <x:v>35</x:v>
      </x:c>
      <x:c r="C9" s="0" t="s">
        <x:v>21</x:v>
      </x:c>
      <x:c r="D9" s="0" t="s">
        <x:v>34</x:v>
      </x:c>
      <x:c r="E9" s="0">
        <x:v>1</x:v>
      </x:c>
      <x:c r="F9" s="0">
        <x:v>0.25</x:v>
      </x:c>
      <x:c r="G9" s="8">
        <x:v>3380</x:v>
      </x:c>
      <x:c r="H9" s="8">
        <x:v>845</x:v>
      </x:c>
      <x:c r="I9" s="0" t="s">
        <x:v>23</x:v>
      </x:c>
      <x:c r="K9" s="8">
        <x:v>845</x:v>
      </x:c>
      <x:c r="L9" s="0" t="s">
        <x:v>24</x:v>
      </x:c>
      <x:c r="M9" s="0" t="s">
        <x:v>25</x:v>
      </x:c>
      <x:c r="N9" s="0" t="s">
        <x:v>26</x:v>
      </x:c>
      <x:c r="P9" s="0" t="s">
        <x:v>27</x:v>
      </x:c>
    </x:row>
    <x:row r="10" spans="1:20">
      <x:c r="A10" s="0">
        <x:v>9</x:v>
      </x:c>
      <x:c r="B10" s="0" t="s">
        <x:v>36</x:v>
      </x:c>
      <x:c r="C10" s="0" t="s">
        <x:v>21</x:v>
      </x:c>
      <x:c r="D10" s="0" t="s">
        <x:v>22</x:v>
      </x:c>
      <x:c r="E10" s="0">
        <x:v>1</x:v>
      </x:c>
      <x:c r="F10" s="0">
        <x:v>2</x:v>
      </x:c>
      <x:c r="G10" s="8">
        <x:v>227.9</x:v>
      </x:c>
      <x:c r="H10" s="8">
        <x:v>455.79</x:v>
      </x:c>
      <x:c r="I10" s="0" t="s">
        <x:v>23</x:v>
      </x:c>
      <x:c r="K10" s="8">
        <x:v>455.79</x:v>
      </x:c>
      <x:c r="L10" s="0" t="s">
        <x:v>24</x:v>
      </x:c>
      <x:c r="M10" s="0" t="s">
        <x:v>25</x:v>
      </x:c>
      <x:c r="N10" s="0" t="s">
        <x:v>26</x:v>
      </x:c>
      <x:c r="P10" s="0" t="s">
        <x:v>27</x:v>
      </x:c>
    </x:row>
    <x:row r="11" spans="1:20">
      <x:c r="A11" s="0">
        <x:v>10</x:v>
      </x:c>
      <x:c r="B11" s="0" t="s">
        <x:v>37</x:v>
      </x:c>
      <x:c r="C11" s="0" t="s">
        <x:v>21</x:v>
      </x:c>
      <x:c r="D11" s="0" t="s">
        <x:v>22</x:v>
      </x:c>
      <x:c r="E11" s="0">
        <x:v>1</x:v>
      </x:c>
      <x:c r="F11" s="0">
        <x:v>1</x:v>
      </x:c>
      <x:c r="G11" s="8">
        <x:v>350</x:v>
      </x:c>
      <x:c r="H11" s="8">
        <x:v>350</x:v>
      </x:c>
      <x:c r="I11" s="0" t="s">
        <x:v>23</x:v>
      </x:c>
      <x:c r="K11" s="8">
        <x:v>350</x:v>
      </x:c>
      <x:c r="L11" s="0" t="s">
        <x:v>24</x:v>
      </x:c>
      <x:c r="M11" s="0" t="s">
        <x:v>25</x:v>
      </x:c>
      <x:c r="N11" s="0" t="s">
        <x:v>26</x:v>
      </x:c>
      <x:c r="P11" s="0" t="s">
        <x:v>27</x:v>
      </x:c>
    </x:row>
    <x:row r="12" spans="1:20">
      <x:c r="A12" s="0">
        <x:v>11</x:v>
      </x:c>
      <x:c r="B12" s="0" t="s">
        <x:v>38</x:v>
      </x:c>
      <x:c r="C12" s="0" t="s">
        <x:v>21</x:v>
      </x:c>
      <x:c r="D12" s="0" t="s">
        <x:v>22</x:v>
      </x:c>
      <x:c r="E12" s="0">
        <x:v>1</x:v>
      </x:c>
      <x:c r="F12" s="0">
        <x:v>1</x:v>
      </x:c>
      <x:c r="G12" s="8">
        <x:v>420</x:v>
      </x:c>
      <x:c r="H12" s="8">
        <x:v>420</x:v>
      </x:c>
      <x:c r="I12" s="0" t="s">
        <x:v>23</x:v>
      </x:c>
      <x:c r="K12" s="8">
        <x:v>420</x:v>
      </x:c>
      <x:c r="L12" s="0" t="s">
        <x:v>24</x:v>
      </x:c>
      <x:c r="M12" s="0" t="s">
        <x:v>25</x:v>
      </x:c>
      <x:c r="N12" s="0" t="s">
        <x:v>26</x:v>
      </x:c>
      <x:c r="P12" s="0" t="s">
        <x:v>27</x:v>
      </x:c>
    </x:row>
    <x:row r="13" spans="1:20">
      <x:c r="A13" s="0">
        <x:v>12</x:v>
      </x:c>
      <x:c r="B13" s="0" t="s">
        <x:v>39</x:v>
      </x:c>
      <x:c r="C13" s="0" t="s">
        <x:v>21</x:v>
      </x:c>
      <x:c r="D13" s="0" t="s">
        <x:v>22</x:v>
      </x:c>
      <x:c r="E13" s="0">
        <x:v>1</x:v>
      </x:c>
      <x:c r="F13" s="0">
        <x:v>7</x:v>
      </x:c>
      <x:c r="G13" s="8">
        <x:v>250</x:v>
      </x:c>
      <x:c r="H13" s="8">
        <x:v>1750</x:v>
      </x:c>
      <x:c r="I13" s="0" t="s">
        <x:v>23</x:v>
      </x:c>
      <x:c r="K13" s="8">
        <x:v>1750</x:v>
      </x:c>
      <x:c r="L13" s="0" t="s">
        <x:v>24</x:v>
      </x:c>
      <x:c r="M13" s="0" t="s">
        <x:v>25</x:v>
      </x:c>
      <x:c r="N13" s="0" t="s">
        <x:v>26</x:v>
      </x:c>
      <x:c r="P13" s="0" t="s">
        <x:v>27</x:v>
      </x:c>
    </x:row>
    <x:row r="14" spans="1:20">
      <x:c r="A14" s="0">
        <x:v>13</x:v>
      </x:c>
      <x:c r="B14" s="0" t="s">
        <x:v>40</x:v>
      </x:c>
      <x:c r="C14" s="0" t="s">
        <x:v>21</x:v>
      </x:c>
      <x:c r="D14" s="0" t="s">
        <x:v>22</x:v>
      </x:c>
      <x:c r="E14" s="0">
        <x:v>1</x:v>
      </x:c>
      <x:c r="F14" s="0">
        <x:v>2</x:v>
      </x:c>
      <x:c r="G14" s="8">
        <x:v>400</x:v>
      </x:c>
      <x:c r="H14" s="8">
        <x:v>800</x:v>
      </x:c>
      <x:c r="I14" s="0" t="s">
        <x:v>23</x:v>
      </x:c>
      <x:c r="K14" s="8">
        <x:v>800</x:v>
      </x:c>
      <x:c r="L14" s="0" t="s">
        <x:v>24</x:v>
      </x:c>
      <x:c r="M14" s="0" t="s">
        <x:v>25</x:v>
      </x:c>
      <x:c r="N14" s="0" t="s">
        <x:v>26</x:v>
      </x:c>
      <x:c r="P14" s="0" t="s">
        <x:v>27</x:v>
      </x:c>
    </x:row>
    <x:row r="15" spans="1:20">
      <x:c r="A15" s="0">
        <x:v>14</x:v>
      </x:c>
      <x:c r="B15" s="0" t="s">
        <x:v>41</x:v>
      </x:c>
      <x:c r="C15" s="0" t="s">
        <x:v>21</x:v>
      </x:c>
      <x:c r="D15" s="0" t="s">
        <x:v>22</x:v>
      </x:c>
      <x:c r="E15" s="0">
        <x:v>1</x:v>
      </x:c>
      <x:c r="F15" s="0">
        <x:v>2</x:v>
      </x:c>
      <x:c r="G15" s="8">
        <x:v>300</x:v>
      </x:c>
      <x:c r="H15" s="8">
        <x:v>600</x:v>
      </x:c>
      <x:c r="I15" s="0" t="s">
        <x:v>23</x:v>
      </x:c>
      <x:c r="K15" s="8">
        <x:v>600</x:v>
      </x:c>
      <x:c r="L15" s="0" t="s">
        <x:v>24</x:v>
      </x:c>
      <x:c r="M15" s="0" t="s">
        <x:v>25</x:v>
      </x:c>
      <x:c r="N15" s="0" t="s">
        <x:v>26</x:v>
      </x:c>
      <x:c r="P15" s="0" t="s">
        <x:v>27</x:v>
      </x:c>
    </x:row>
    <x:row r="16" spans="1:20">
      <x:c r="A16" s="0">
        <x:v>15</x:v>
      </x:c>
      <x:c r="B16" s="0" t="s">
        <x:v>42</x:v>
      </x:c>
      <x:c r="C16" s="0" t="s">
        <x:v>21</x:v>
      </x:c>
      <x:c r="D16" s="0" t="s">
        <x:v>22</x:v>
      </x:c>
      <x:c r="E16" s="0">
        <x:v>1</x:v>
      </x:c>
      <x:c r="F16" s="0">
        <x:v>1</x:v>
      </x:c>
      <x:c r="G16" s="8">
        <x:v>220</x:v>
      </x:c>
      <x:c r="H16" s="8">
        <x:v>220</x:v>
      </x:c>
      <x:c r="I16" s="0" t="s">
        <x:v>23</x:v>
      </x:c>
      <x:c r="K16" s="8">
        <x:v>220</x:v>
      </x:c>
      <x:c r="L16" s="0" t="s">
        <x:v>24</x:v>
      </x:c>
      <x:c r="M16" s="0" t="s">
        <x:v>25</x:v>
      </x:c>
      <x:c r="N16" s="0" t="s">
        <x:v>26</x:v>
      </x:c>
      <x:c r="P16" s="0" t="s">
        <x:v>27</x:v>
      </x:c>
    </x:row>
    <x:row r="17" spans="1:20">
      <x:c r="A17" s="0">
        <x:v>16</x:v>
      </x:c>
      <x:c r="B17" s="0" t="s">
        <x:v>43</x:v>
      </x:c>
      <x:c r="C17" s="0" t="s">
        <x:v>21</x:v>
      </x:c>
      <x:c r="D17" s="0" t="s">
        <x:v>22</x:v>
      </x:c>
      <x:c r="E17" s="0">
        <x:v>1</x:v>
      </x:c>
      <x:c r="F17" s="0">
        <x:v>1</x:v>
      </x:c>
      <x:c r="G17" s="8">
        <x:v>220</x:v>
      </x:c>
      <x:c r="H17" s="8">
        <x:v>220</x:v>
      </x:c>
      <x:c r="I17" s="0" t="s">
        <x:v>23</x:v>
      </x:c>
      <x:c r="K17" s="8">
        <x:v>220</x:v>
      </x:c>
      <x:c r="L17" s="0" t="s">
        <x:v>24</x:v>
      </x:c>
      <x:c r="M17" s="0" t="s">
        <x:v>25</x:v>
      </x:c>
      <x:c r="N17" s="0" t="s">
        <x:v>26</x:v>
      </x:c>
      <x:c r="P17" s="0" t="s">
        <x:v>27</x:v>
      </x:c>
    </x:row>
    <x:row r="18" spans="1:20">
      <x:c r="A18" s="0">
        <x:v>17</x:v>
      </x:c>
      <x:c r="B18" s="0" t="s">
        <x:v>44</x:v>
      </x:c>
      <x:c r="C18" s="0" t="s">
        <x:v>21</x:v>
      </x:c>
      <x:c r="D18" s="0" t="s">
        <x:v>22</x:v>
      </x:c>
      <x:c r="E18" s="0">
        <x:v>1</x:v>
      </x:c>
      <x:c r="F18" s="0">
        <x:v>2</x:v>
      </x:c>
      <x:c r="G18" s="8">
        <x:v>85</x:v>
      </x:c>
      <x:c r="H18" s="8">
        <x:v>170</x:v>
      </x:c>
      <x:c r="I18" s="0" t="s">
        <x:v>23</x:v>
      </x:c>
      <x:c r="K18" s="8">
        <x:v>170</x:v>
      </x:c>
      <x:c r="L18" s="0" t="s">
        <x:v>24</x:v>
      </x:c>
      <x:c r="M18" s="0" t="s">
        <x:v>25</x:v>
      </x:c>
      <x:c r="N18" s="0" t="s">
        <x:v>26</x:v>
      </x:c>
      <x:c r="P18" s="0" t="s">
        <x:v>27</x:v>
      </x:c>
    </x:row>
    <x:row r="19" spans="1:20">
      <x:c r="A19" s="0">
        <x:v>18</x:v>
      </x:c>
      <x:c r="B19" s="0" t="s">
        <x:v>45</x:v>
      </x:c>
      <x:c r="C19" s="0" t="s">
        <x:v>21</x:v>
      </x:c>
      <x:c r="D19" s="0" t="s">
        <x:v>22</x:v>
      </x:c>
      <x:c r="E19" s="0">
        <x:v>1</x:v>
      </x:c>
      <x:c r="F19" s="0">
        <x:v>1</x:v>
      </x:c>
      <x:c r="G19" s="8">
        <x:v>110</x:v>
      </x:c>
      <x:c r="H19" s="8">
        <x:v>110</x:v>
      </x:c>
      <x:c r="I19" s="0" t="s">
        <x:v>23</x:v>
      </x:c>
      <x:c r="K19" s="8">
        <x:v>110</x:v>
      </x:c>
      <x:c r="L19" s="0" t="s">
        <x:v>24</x:v>
      </x:c>
      <x:c r="M19" s="0" t="s">
        <x:v>25</x:v>
      </x:c>
      <x:c r="N19" s="0" t="s">
        <x:v>26</x:v>
      </x:c>
      <x:c r="P19" s="0" t="s">
        <x:v>27</x:v>
      </x:c>
    </x:row>
    <x:row r="20" spans="1:20">
      <x:c r="A20" s="0">
        <x:v>19</x:v>
      </x:c>
      <x:c r="B20" s="0" t="s">
        <x:v>46</x:v>
      </x:c>
      <x:c r="C20" s="0" t="s">
        <x:v>21</x:v>
      </x:c>
      <x:c r="D20" s="0" t="s">
        <x:v>22</x:v>
      </x:c>
      <x:c r="E20" s="0">
        <x:v>1</x:v>
      </x:c>
      <x:c r="F20" s="0">
        <x:v>2</x:v>
      </x:c>
      <x:c r="G20" s="8">
        <x:v>135</x:v>
      </x:c>
      <x:c r="H20" s="8">
        <x:v>270</x:v>
      </x:c>
      <x:c r="I20" s="0" t="s">
        <x:v>23</x:v>
      </x:c>
      <x:c r="K20" s="8">
        <x:v>270</x:v>
      </x:c>
      <x:c r="L20" s="0" t="s">
        <x:v>24</x:v>
      </x:c>
      <x:c r="M20" s="0" t="s">
        <x:v>25</x:v>
      </x:c>
      <x:c r="N20" s="0" t="s">
        <x:v>26</x:v>
      </x:c>
      <x:c r="P20" s="0" t="s">
        <x:v>27</x:v>
      </x:c>
    </x:row>
    <x:row r="21" spans="1:20">
      <x:c r="A21" s="0">
        <x:v>20</x:v>
      </x:c>
      <x:c r="B21" s="0" t="s">
        <x:v>47</x:v>
      </x:c>
      <x:c r="C21" s="0" t="s">
        <x:v>21</x:v>
      </x:c>
      <x:c r="D21" s="0" t="s">
        <x:v>22</x:v>
      </x:c>
      <x:c r="E21" s="0">
        <x:v>1</x:v>
      </x:c>
      <x:c r="F21" s="0">
        <x:v>2</x:v>
      </x:c>
      <x:c r="G21" s="8">
        <x:v>256.5</x:v>
      </x:c>
      <x:c r="H21" s="8">
        <x:v>513</x:v>
      </x:c>
      <x:c r="I21" s="0" t="s">
        <x:v>23</x:v>
      </x:c>
      <x:c r="K21" s="8">
        <x:v>513</x:v>
      </x:c>
      <x:c r="L21" s="0" t="s">
        <x:v>24</x:v>
      </x:c>
      <x:c r="M21" s="0" t="s">
        <x:v>25</x:v>
      </x:c>
      <x:c r="N21" s="0" t="s">
        <x:v>26</x:v>
      </x:c>
      <x:c r="P21" s="0" t="s">
        <x:v>27</x:v>
      </x:c>
    </x:row>
    <x:row r="22" spans="1:20">
      <x:c r="A22" s="0">
        <x:v>21</x:v>
      </x:c>
      <x:c r="B22" s="0" t="s">
        <x:v>48</x:v>
      </x:c>
      <x:c r="C22" s="0" t="s">
        <x:v>21</x:v>
      </x:c>
      <x:c r="D22" s="0" t="s">
        <x:v>34</x:v>
      </x:c>
      <x:c r="E22" s="0">
        <x:v>1</x:v>
      </x:c>
      <x:c r="F22" s="0">
        <x:v>0.1</x:v>
      </x:c>
      <x:c r="G22" s="8">
        <x:v>3200</x:v>
      </x:c>
      <x:c r="H22" s="8">
        <x:v>320</x:v>
      </x:c>
      <x:c r="I22" s="0" t="s">
        <x:v>23</x:v>
      </x:c>
      <x:c r="K22" s="8">
        <x:v>320</x:v>
      </x:c>
      <x:c r="L22" s="0" t="s">
        <x:v>24</x:v>
      </x:c>
      <x:c r="M22" s="0" t="s">
        <x:v>25</x:v>
      </x:c>
      <x:c r="N22" s="0" t="s">
        <x:v>26</x:v>
      </x:c>
      <x:c r="P22" s="0" t="s">
        <x:v>27</x:v>
      </x:c>
    </x:row>
    <x:row r="23" spans="1:20">
      <x:c r="A23" s="0">
        <x:v>22</x:v>
      </x:c>
      <x:c r="B23" s="0" t="s">
        <x:v>49</x:v>
      </x:c>
      <x:c r="C23" s="0" t="s">
        <x:v>21</x:v>
      </x:c>
      <x:c r="D23" s="0" t="s">
        <x:v>22</x:v>
      </x:c>
      <x:c r="E23" s="0">
        <x:v>1</x:v>
      </x:c>
      <x:c r="F23" s="0">
        <x:v>1</x:v>
      </x:c>
      <x:c r="G23" s="8">
        <x:v>250</x:v>
      </x:c>
      <x:c r="H23" s="8">
        <x:v>250</x:v>
      </x:c>
      <x:c r="I23" s="0" t="s">
        <x:v>23</x:v>
      </x:c>
      <x:c r="K23" s="8">
        <x:v>250</x:v>
      </x:c>
      <x:c r="L23" s="0" t="s">
        <x:v>24</x:v>
      </x:c>
      <x:c r="M23" s="0" t="s">
        <x:v>25</x:v>
      </x:c>
      <x:c r="N23" s="0" t="s">
        <x:v>26</x:v>
      </x:c>
      <x:c r="P23" s="0" t="s">
        <x:v>27</x:v>
      </x:c>
    </x:row>
    <x:row r="24" spans="1:20">
      <x:c r="A24" s="0">
        <x:v>23</x:v>
      </x:c>
      <x:c r="B24" s="0" t="s">
        <x:v>50</x:v>
      </x:c>
      <x:c r="C24" s="0" t="s">
        <x:v>21</x:v>
      </x:c>
      <x:c r="D24" s="0" t="s">
        <x:v>22</x:v>
      </x:c>
      <x:c r="E24" s="0">
        <x:v>1</x:v>
      </x:c>
      <x:c r="F24" s="0">
        <x:v>2</x:v>
      </x:c>
      <x:c r="G24" s="8">
        <x:v>135</x:v>
      </x:c>
      <x:c r="H24" s="8">
        <x:v>270</x:v>
      </x:c>
      <x:c r="I24" s="0" t="s">
        <x:v>23</x:v>
      </x:c>
      <x:c r="K24" s="8">
        <x:v>270</x:v>
      </x:c>
      <x:c r="L24" s="0" t="s">
        <x:v>24</x:v>
      </x:c>
      <x:c r="M24" s="0" t="s">
        <x:v>25</x:v>
      </x:c>
      <x:c r="N24" s="0" t="s">
        <x:v>26</x:v>
      </x:c>
      <x:c r="P24" s="0" t="s">
        <x:v>27</x:v>
      </x:c>
    </x:row>
    <x:row r="25" spans="1:20">
      <x:c r="A25" s="0">
        <x:v>24</x:v>
      </x:c>
      <x:c r="B25" s="0" t="s">
        <x:v>51</x:v>
      </x:c>
      <x:c r="C25" s="0" t="s">
        <x:v>21</x:v>
      </x:c>
      <x:c r="D25" s="0" t="s">
        <x:v>22</x:v>
      </x:c>
      <x:c r="E25" s="0">
        <x:v>1</x:v>
      </x:c>
      <x:c r="F25" s="0">
        <x:v>3</x:v>
      </x:c>
      <x:c r="G25" s="8">
        <x:v>60</x:v>
      </x:c>
      <x:c r="H25" s="8">
        <x:v>180</x:v>
      </x:c>
      <x:c r="I25" s="0" t="s">
        <x:v>23</x:v>
      </x:c>
      <x:c r="K25" s="8">
        <x:v>180</x:v>
      </x:c>
      <x:c r="L25" s="0" t="s">
        <x:v>24</x:v>
      </x:c>
      <x:c r="M25" s="0" t="s">
        <x:v>25</x:v>
      </x:c>
      <x:c r="N25" s="0" t="s">
        <x:v>26</x:v>
      </x:c>
      <x:c r="P25" s="0" t="s">
        <x:v>27</x:v>
      </x:c>
    </x:row>
    <x:row r="26" spans="1:20">
      <x:c r="A26" s="0">
        <x:v>25</x:v>
      </x:c>
      <x:c r="B26" s="0" t="s">
        <x:v>52</x:v>
      </x:c>
      <x:c r="C26" s="0" t="s">
        <x:v>21</x:v>
      </x:c>
      <x:c r="D26" s="0" t="s">
        <x:v>22</x:v>
      </x:c>
      <x:c r="E26" s="0">
        <x:v>1</x:v>
      </x:c>
      <x:c r="F26" s="0">
        <x:v>1</x:v>
      </x:c>
      <x:c r="G26" s="8">
        <x:v>140.21</x:v>
      </x:c>
      <x:c r="H26" s="8">
        <x:v>140.21</x:v>
      </x:c>
      <x:c r="I26" s="0" t="s">
        <x:v>23</x:v>
      </x:c>
      <x:c r="K26" s="8">
        <x:v>140.21</x:v>
      </x:c>
      <x:c r="L26" s="0" t="s">
        <x:v>24</x:v>
      </x:c>
      <x:c r="M26" s="0" t="s">
        <x:v>25</x:v>
      </x:c>
      <x:c r="N26" s="0" t="s">
        <x:v>26</x:v>
      </x:c>
      <x:c r="P26" s="0" t="s">
        <x:v>27</x:v>
      </x:c>
    </x:row>
    <x:row r="27" spans="1:20">
      <x:c r="A27" s="0">
        <x:v>26</x:v>
      </x:c>
      <x:c r="B27" s="0" t="s">
        <x:v>53</x:v>
      </x:c>
      <x:c r="C27" s="0" t="s">
        <x:v>21</x:v>
      </x:c>
      <x:c r="D27" s="0" t="s">
        <x:v>22</x:v>
      </x:c>
      <x:c r="E27" s="0">
        <x:v>1</x:v>
      </x:c>
      <x:c r="F27" s="0">
        <x:v>2</x:v>
      </x:c>
      <x:c r="G27" s="8">
        <x:v>40</x:v>
      </x:c>
      <x:c r="H27" s="8">
        <x:v>80</x:v>
      </x:c>
      <x:c r="I27" s="0" t="s">
        <x:v>23</x:v>
      </x:c>
      <x:c r="K27" s="8">
        <x:v>80</x:v>
      </x:c>
      <x:c r="L27" s="0" t="s">
        <x:v>24</x:v>
      </x:c>
      <x:c r="M27" s="0" t="s">
        <x:v>25</x:v>
      </x:c>
      <x:c r="N27" s="0" t="s">
        <x:v>26</x:v>
      </x:c>
      <x:c r="P27" s="0" t="s">
        <x:v>27</x:v>
      </x:c>
    </x:row>
    <x:row r="28" spans="1:20">
      <x:c r="A28" s="0">
        <x:v>27</x:v>
      </x:c>
      <x:c r="B28" s="0" t="s">
        <x:v>54</x:v>
      </x:c>
      <x:c r="C28" s="0" t="s">
        <x:v>21</x:v>
      </x:c>
      <x:c r="D28" s="0" t="s">
        <x:v>22</x:v>
      </x:c>
      <x:c r="E28" s="0">
        <x:v>1</x:v>
      </x:c>
      <x:c r="F28" s="0">
        <x:v>2</x:v>
      </x:c>
      <x:c r="G28" s="8">
        <x:v>184.91</x:v>
      </x:c>
      <x:c r="H28" s="8">
        <x:v>369.81</x:v>
      </x:c>
      <x:c r="I28" s="0" t="s">
        <x:v>23</x:v>
      </x:c>
      <x:c r="K28" s="8">
        <x:v>369.81</x:v>
      </x:c>
      <x:c r="L28" s="0" t="s">
        <x:v>24</x:v>
      </x:c>
      <x:c r="M28" s="0" t="s">
        <x:v>25</x:v>
      </x:c>
      <x:c r="N28" s="0" t="s">
        <x:v>26</x:v>
      </x:c>
      <x:c r="P28" s="0" t="s">
        <x:v>27</x:v>
      </x:c>
    </x:row>
    <x:row r="29" spans="1:20">
      <x:c r="A29" s="0">
        <x:v>28</x:v>
      </x:c>
      <x:c r="B29" s="0" t="s">
        <x:v>55</x:v>
      </x:c>
      <x:c r="C29" s="0" t="s">
        <x:v>21</x:v>
      </x:c>
      <x:c r="D29" s="0" t="s">
        <x:v>22</x:v>
      </x:c>
      <x:c r="E29" s="0">
        <x:v>1</x:v>
      </x:c>
      <x:c r="F29" s="0">
        <x:v>4</x:v>
      </x:c>
      <x:c r="G29" s="8">
        <x:v>341.25</x:v>
      </x:c>
      <x:c r="H29" s="8">
        <x:v>1365</x:v>
      </x:c>
      <x:c r="I29" s="0" t="s">
        <x:v>23</x:v>
      </x:c>
      <x:c r="K29" s="8">
        <x:v>1365</x:v>
      </x:c>
      <x:c r="L29" s="0" t="s">
        <x:v>24</x:v>
      </x:c>
      <x:c r="M29" s="0" t="s">
        <x:v>25</x:v>
      </x:c>
      <x:c r="N29" s="0" t="s">
        <x:v>26</x:v>
      </x:c>
      <x:c r="P29" s="0" t="s">
        <x:v>27</x:v>
      </x:c>
    </x:row>
    <x:row r="30" spans="1:20">
      <x:c r="A30" s="0">
        <x:v>29</x:v>
      </x:c>
      <x:c r="B30" s="0" t="s">
        <x:v>56</x:v>
      </x:c>
      <x:c r="C30" s="0" t="s">
        <x:v>21</x:v>
      </x:c>
      <x:c r="D30" s="0" t="s">
        <x:v>22</x:v>
      </x:c>
      <x:c r="E30" s="0">
        <x:v>1</x:v>
      </x:c>
      <x:c r="F30" s="0">
        <x:v>1</x:v>
      </x:c>
      <x:c r="G30" s="8">
        <x:v>350</x:v>
      </x:c>
      <x:c r="H30" s="8">
        <x:v>350</x:v>
      </x:c>
      <x:c r="I30" s="0" t="s">
        <x:v>23</x:v>
      </x:c>
      <x:c r="K30" s="8">
        <x:v>350</x:v>
      </x:c>
      <x:c r="L30" s="0" t="s">
        <x:v>24</x:v>
      </x:c>
      <x:c r="M30" s="0" t="s">
        <x:v>25</x:v>
      </x:c>
      <x:c r="N30" s="0" t="s">
        <x:v>26</x:v>
      </x:c>
      <x:c r="P30" s="0" t="s">
        <x:v>27</x:v>
      </x:c>
    </x:row>
    <x:row r="31" spans="1:20">
      <x:c r="A31" s="0">
        <x:v>30</x:v>
      </x:c>
      <x:c r="B31" s="0" t="s">
        <x:v>57</x:v>
      </x:c>
      <x:c r="C31" s="0" t="s">
        <x:v>21</x:v>
      </x:c>
      <x:c r="D31" s="0" t="s">
        <x:v>22</x:v>
      </x:c>
      <x:c r="E31" s="0">
        <x:v>1</x:v>
      </x:c>
      <x:c r="F31" s="0">
        <x:v>9</x:v>
      </x:c>
      <x:c r="G31" s="8">
        <x:v>145.83</x:v>
      </x:c>
      <x:c r="H31" s="8">
        <x:v>1312.5</x:v>
      </x:c>
      <x:c r="I31" s="0" t="s">
        <x:v>23</x:v>
      </x:c>
      <x:c r="K31" s="8">
        <x:v>1312.5</x:v>
      </x:c>
      <x:c r="L31" s="0" t="s">
        <x:v>24</x:v>
      </x:c>
      <x:c r="M31" s="0" t="s">
        <x:v>25</x:v>
      </x:c>
      <x:c r="N31" s="0" t="s">
        <x:v>26</x:v>
      </x:c>
      <x:c r="P31" s="0" t="s">
        <x:v>27</x:v>
      </x:c>
    </x:row>
    <x:row r="32" spans="1:20">
      <x:c r="A32" s="0">
        <x:v>31</x:v>
      </x:c>
      <x:c r="B32" s="0" t="s">
        <x:v>58</x:v>
      </x:c>
      <x:c r="C32" s="0" t="s">
        <x:v>21</x:v>
      </x:c>
      <x:c r="D32" s="0" t="s">
        <x:v>22</x:v>
      </x:c>
      <x:c r="E32" s="0">
        <x:v>1</x:v>
      </x:c>
      <x:c r="F32" s="0">
        <x:v>1</x:v>
      </x:c>
      <x:c r="G32" s="8">
        <x:v>280</x:v>
      </x:c>
      <x:c r="H32" s="8">
        <x:v>280</x:v>
      </x:c>
      <x:c r="I32" s="0" t="s">
        <x:v>23</x:v>
      </x:c>
      <x:c r="K32" s="8">
        <x:v>280</x:v>
      </x:c>
      <x:c r="L32" s="0" t="s">
        <x:v>24</x:v>
      </x:c>
      <x:c r="M32" s="0" t="s">
        <x:v>25</x:v>
      </x:c>
      <x:c r="N32" s="0" t="s">
        <x:v>26</x:v>
      </x:c>
      <x:c r="P32" s="0" t="s">
        <x:v>27</x:v>
      </x:c>
    </x:row>
    <x:row r="33" spans="1:20">
      <x:c r="A33" s="0">
        <x:v>32</x:v>
      </x:c>
      <x:c r="B33" s="0" t="s">
        <x:v>59</x:v>
      </x:c>
      <x:c r="C33" s="0" t="s">
        <x:v>21</x:v>
      </x:c>
      <x:c r="D33" s="0" t="s">
        <x:v>34</x:v>
      </x:c>
      <x:c r="E33" s="0">
        <x:v>1</x:v>
      </x:c>
      <x:c r="F33" s="0">
        <x:v>0.1</x:v>
      </x:c>
      <x:c r="G33" s="8">
        <x:v>2500</x:v>
      </x:c>
      <x:c r="H33" s="8">
        <x:v>250</x:v>
      </x:c>
      <x:c r="I33" s="0" t="s">
        <x:v>23</x:v>
      </x:c>
      <x:c r="K33" s="8">
        <x:v>250</x:v>
      </x:c>
      <x:c r="L33" s="0" t="s">
        <x:v>24</x:v>
      </x:c>
      <x:c r="M33" s="0" t="s">
        <x:v>25</x:v>
      </x:c>
      <x:c r="N33" s="0" t="s">
        <x:v>26</x:v>
      </x:c>
      <x:c r="P33" s="0" t="s">
        <x:v>27</x:v>
      </x:c>
    </x:row>
    <x:row r="34" spans="1:20">
      <x:c r="A34" s="0">
        <x:v>33</x:v>
      </x:c>
      <x:c r="B34" s="0" t="s">
        <x:v>60</x:v>
      </x:c>
      <x:c r="C34" s="0" t="s">
        <x:v>21</x:v>
      </x:c>
      <x:c r="D34" s="0" t="s">
        <x:v>22</x:v>
      </x:c>
      <x:c r="E34" s="0">
        <x:v>1</x:v>
      </x:c>
      <x:c r="F34" s="0">
        <x:v>2</x:v>
      </x:c>
      <x:c r="G34" s="8">
        <x:v>147.5</x:v>
      </x:c>
      <x:c r="H34" s="8">
        <x:v>295</x:v>
      </x:c>
      <x:c r="I34" s="0" t="s">
        <x:v>23</x:v>
      </x:c>
      <x:c r="K34" s="8">
        <x:v>295</x:v>
      </x:c>
      <x:c r="L34" s="0" t="s">
        <x:v>24</x:v>
      </x:c>
      <x:c r="M34" s="0" t="s">
        <x:v>25</x:v>
      </x:c>
      <x:c r="N34" s="0" t="s">
        <x:v>26</x:v>
      </x:c>
      <x:c r="P34" s="0" t="s">
        <x:v>27</x:v>
      </x:c>
    </x:row>
    <x:row r="35" spans="1:20">
      <x:c r="B35" s="9"/>
      <x:c r="C35" s="9"/>
      <x:c r="D35" s="9"/>
      <x:c r="E35" s="9"/>
      <x:c r="F35" s="9"/>
      <x:c r="G35" s="9"/>
      <x:c r="H35" s="10">
        <x:f>SUM(H2:H34)</x:f>
      </x:c>
      <x:c r="I35" s="9"/>
    </x:row>
    <x:row r="36" spans="1:20">
      <x:c r="B36" s="9"/>
      <x:c r="C36" s="9"/>
      <x:c r="D36" s="9"/>
      <x:c r="E36" s="9"/>
      <x:c r="F36" s="9"/>
      <x:c r="G36" s="9"/>
      <x:c r="H36" s="9"/>
      <x:c r="I36" s="9"/>
    </x:row>
    <x:row r="37" spans="1:20">
      <x:c r="B37" s="11" t="s">
        <x:v>163</x:v>
      </x:c>
      <x:c r="C37" s="12"/>
      <x:c r="D37" s="12"/>
      <x:c r="E37" s="12"/>
      <x:c r="F37" s="12"/>
      <x:c r="G37" s="12"/>
      <x:c r="H37" s="12">
        <x:f>SUM(H38:H40)</x:f>
      </x:c>
      <x:c r="I37" s="13" t="s">
        <x:v>164</x:v>
      </x:c>
    </x:row>
    <x:row r="38" spans="1:20">
      <x:c r="B38" s="12" t="s">
        <x:v>165</x:v>
      </x:c>
      <x:c r="C38" s="12"/>
      <x:c r="D38" s="12"/>
      <x:c r="E38" s="12"/>
      <x:c r="F38" s="14">
        <x:f>F2+F3+F4+F5+F10+F11+F13+F14+F15+F21+F23+F26+F31+F32+F34</x:f>
      </x:c>
      <x:c r="G38" s="14">
        <x:f>G2+G3+G4+G5+G10+G11+G13+G14+G15+G21+G23+G26+G31+G32+G34</x:f>
      </x:c>
      <x:c r="H38" s="14">
        <x:f>H2+H3+H4+H5+H10+H11+H13+H14+H15+H21+H23+H26+H31+H32+H34</x:f>
      </x:c>
      <x:c r="I38" s="13"/>
    </x:row>
    <x:row r="39" spans="1:20">
      <x:c r="B39" s="12" t="s">
        <x:v>166</x:v>
      </x:c>
      <x:c r="C39" s="12"/>
      <x:c r="D39" s="12"/>
      <x:c r="E39" s="12"/>
      <x:c r="F39" s="14"/>
      <x:c r="G39" s="14"/>
      <x:c r="H39" s="14"/>
      <x:c r="I39" s="13"/>
    </x:row>
    <x:row r="40" spans="1:20">
      <x:c r="B40" s="12" t="s">
        <x:v>167</x:v>
      </x:c>
      <x:c r="C40" s="12"/>
      <x:c r="D40" s="12"/>
      <x:c r="E40" s="12"/>
      <x:c r="F40" s="14">
        <x:f>F6+F25+F27</x:f>
      </x:c>
      <x:c r="G40" s="14">
        <x:f>G6+G25+G27</x:f>
      </x:c>
      <x:c r="H40" s="14">
        <x:f>H6+H25+H27</x:f>
      </x:c>
      <x:c r="I40" s="13"/>
    </x:row>
    <x:row r="41" spans="1:20">
      <x:c r="B41" s="11" t="s">
        <x:v>168</x:v>
      </x:c>
      <x:c r="C41" s="12"/>
      <x:c r="D41" s="12"/>
      <x:c r="E41" s="12"/>
      <x:c r="F41" s="12"/>
      <x:c r="G41" s="12"/>
      <x:c r="H41" s="12">
        <x:f>SUM(H42:H48)</x:f>
      </x:c>
      <x:c r="I41" s="13" t="s">
        <x:v>169</x:v>
      </x:c>
    </x:row>
    <x:row r="42" spans="1:20">
      <x:c r="B42" s="12" t="s">
        <x:v>170</x:v>
      </x:c>
      <x:c r="C42" s="12"/>
      <x:c r="D42" s="12"/>
      <x:c r="E42" s="12"/>
      <x:c r="F42" s="14">
        <x:f>F8+F9</x:f>
      </x:c>
      <x:c r="G42" s="14">
        <x:f>G8+G9</x:f>
      </x:c>
      <x:c r="H42" s="14">
        <x:f>H8+H9</x:f>
      </x:c>
      <x:c r="I42" s="13"/>
    </x:row>
    <x:row r="43" spans="1:20">
      <x:c r="B43" s="12" t="s">
        <x:v>171</x:v>
      </x:c>
      <x:c r="C43" s="12"/>
      <x:c r="D43" s="12"/>
      <x:c r="E43" s="12"/>
      <x:c r="F43" s="14">
        <x:f>F12</x:f>
      </x:c>
      <x:c r="G43" s="14">
        <x:f>G12</x:f>
      </x:c>
      <x:c r="H43" s="14">
        <x:f>H12</x:f>
      </x:c>
      <x:c r="I43" s="13"/>
    </x:row>
    <x:row r="44" spans="1:20">
      <x:c r="B44" s="12" t="s">
        <x:v>172</x:v>
      </x:c>
      <x:c r="C44" s="12"/>
      <x:c r="D44" s="12"/>
      <x:c r="E44" s="12"/>
      <x:c r="F44" s="14">
        <x:f>F7</x:f>
      </x:c>
      <x:c r="G44" s="14">
        <x:f>G7</x:f>
      </x:c>
      <x:c r="H44" s="14">
        <x:f>H7</x:f>
      </x:c>
      <x:c r="I44" s="13"/>
    </x:row>
    <x:row r="45" spans="1:20">
      <x:c r="B45" s="12" t="s">
        <x:v>173</x:v>
      </x:c>
      <x:c r="C45" s="12"/>
      <x:c r="D45" s="12"/>
      <x:c r="E45" s="12"/>
      <x:c r="F45" s="14">
        <x:f>F22+F33</x:f>
      </x:c>
      <x:c r="G45" s="14">
        <x:f>G22+G33</x:f>
      </x:c>
      <x:c r="H45" s="14">
        <x:f>H22+H33</x:f>
      </x:c>
      <x:c r="I45" s="13"/>
    </x:row>
    <x:row r="46" spans="1:20">
      <x:c r="B46" s="12" t="s">
        <x:v>174</x:v>
      </x:c>
      <x:c r="C46" s="12"/>
      <x:c r="D46" s="12"/>
      <x:c r="E46" s="12"/>
      <x:c r="F46" s="14"/>
      <x:c r="G46" s="14"/>
      <x:c r="H46" s="14"/>
      <x:c r="I46" s="13"/>
    </x:row>
    <x:row r="47" spans="1:20">
      <x:c r="B47" s="12" t="s">
        <x:v>70</x:v>
      </x:c>
      <x:c r="C47" s="12"/>
      <x:c r="D47" s="12"/>
      <x:c r="E47" s="12"/>
      <x:c r="F47" s="14"/>
      <x:c r="G47" s="14"/>
      <x:c r="H47" s="14"/>
      <x:c r="I47" s="13"/>
    </x:row>
    <x:row r="48" spans="1:20">
      <x:c r="B48" s="12" t="s">
        <x:v>175</x:v>
      </x:c>
      <x:c r="C48" s="12"/>
      <x:c r="D48" s="12"/>
      <x:c r="E48" s="12"/>
      <x:c r="F48" s="14"/>
      <x:c r="G48" s="14"/>
      <x:c r="H48" s="14"/>
      <x:c r="I48" s="13"/>
    </x:row>
    <x:row r="49" spans="1:20">
      <x:c r="B49" s="11" t="s">
        <x:v>176</x:v>
      </x:c>
      <x:c r="C49" s="12"/>
      <x:c r="D49" s="12"/>
      <x:c r="E49" s="12"/>
      <x:c r="F49" s="12"/>
      <x:c r="G49" s="12"/>
      <x:c r="H49" s="12">
        <x:f>SUM(H50:H55)</x:f>
      </x:c>
      <x:c r="I49" s="13" t="s">
        <x:v>177</x:v>
      </x:c>
    </x:row>
    <x:row r="50" spans="1:20">
      <x:c r="B50" s="12" t="s">
        <x:v>178</x:v>
      </x:c>
      <x:c r="C50" s="12"/>
      <x:c r="D50" s="12"/>
      <x:c r="E50" s="12"/>
      <x:c r="F50" s="14"/>
      <x:c r="G50" s="14"/>
      <x:c r="H50" s="14"/>
      <x:c r="I50" s="13"/>
    </x:row>
    <x:row r="51" spans="1:20">
      <x:c r="B51" s="12" t="s">
        <x:v>179</x:v>
      </x:c>
      <x:c r="C51" s="12"/>
      <x:c r="D51" s="12"/>
      <x:c r="E51" s="12"/>
      <x:c r="F51" s="14">
        <x:f>F29</x:f>
      </x:c>
      <x:c r="G51" s="14">
        <x:f>G29</x:f>
      </x:c>
      <x:c r="H51" s="14">
        <x:f>H29</x:f>
      </x:c>
      <x:c r="I51" s="13"/>
    </x:row>
    <x:row r="52" spans="1:20">
      <x:c r="B52" s="12" t="s">
        <x:v>54</x:v>
      </x:c>
      <x:c r="C52" s="12"/>
      <x:c r="D52" s="12"/>
      <x:c r="E52" s="12"/>
      <x:c r="F52" s="14">
        <x:f>F28</x:f>
      </x:c>
      <x:c r="G52" s="14">
        <x:f>G28</x:f>
      </x:c>
      <x:c r="H52" s="14">
        <x:f>H28</x:f>
      </x:c>
      <x:c r="I52" s="13"/>
    </x:row>
    <x:row r="53" spans="1:20">
      <x:c r="B53" s="12" t="s">
        <x:v>180</x:v>
      </x:c>
      <x:c r="C53" s="12"/>
      <x:c r="D53" s="12"/>
      <x:c r="E53" s="12"/>
      <x:c r="F53" s="14">
        <x:f>F16+F17+F30</x:f>
      </x:c>
      <x:c r="G53" s="14">
        <x:f>G16+G17+G30</x:f>
      </x:c>
      <x:c r="H53" s="14">
        <x:f>H16+H17+H30</x:f>
      </x:c>
      <x:c r="I53" s="13"/>
    </x:row>
    <x:row r="54" spans="1:20">
      <x:c r="B54" s="12" t="s">
        <x:v>181</x:v>
      </x:c>
      <x:c r="C54" s="12"/>
      <x:c r="D54" s="12"/>
      <x:c r="E54" s="12"/>
      <x:c r="F54" s="14">
        <x:f>F19+F20+F24</x:f>
      </x:c>
      <x:c r="G54" s="14">
        <x:f>G19+G20+G24</x:f>
      </x:c>
      <x:c r="H54" s="14">
        <x:f>H19+H20+H24</x:f>
      </x:c>
      <x:c r="I54" s="13"/>
    </x:row>
    <x:row r="55" spans="1:20">
      <x:c r="B55" s="12" t="s">
        <x:v>182</x:v>
      </x:c>
      <x:c r="C55" s="12"/>
      <x:c r="D55" s="12"/>
      <x:c r="E55" s="12"/>
      <x:c r="F55" s="14">
        <x:f>F18</x:f>
      </x:c>
      <x:c r="G55" s="14">
        <x:f>G18</x:f>
      </x:c>
      <x:c r="H55" s="14">
        <x:f>H18</x:f>
      </x:c>
      <x:c r="I55" s="13"/>
    </x:row>
    <x:row r="56" spans="1:20">
      <x:c r="B56" s="11" t="s">
        <x:v>183</x:v>
      </x:c>
      <x:c r="C56" s="12"/>
      <x:c r="D56" s="12"/>
      <x:c r="E56" s="12"/>
      <x:c r="F56" s="12"/>
      <x:c r="G56" s="12"/>
      <x:c r="H56" s="12">
        <x:f>SUM(H57:H58)</x:f>
      </x:c>
      <x:c r="I56" s="13"/>
    </x:row>
    <x:row r="57" spans="1:20">
      <x:c r="B57" s="12" t="s">
        <x:v>184</x:v>
      </x:c>
      <x:c r="C57" s="12"/>
      <x:c r="D57" s="12"/>
      <x:c r="E57" s="12"/>
      <x:c r="F57" s="14"/>
      <x:c r="G57" s="14"/>
      <x:c r="H57" s="14"/>
      <x:c r="I57" s="13"/>
    </x:row>
    <x:row r="58" spans="1:20">
      <x:c r="B58" s="12" t="s">
        <x:v>185</x:v>
      </x:c>
      <x:c r="C58" s="12"/>
      <x:c r="D58" s="12"/>
      <x:c r="E58" s="12"/>
      <x:c r="F58" s="14"/>
      <x:c r="G58" s="14"/>
      <x:c r="H58" s="14"/>
      <x:c r="I58" s="15"/>
    </x:row>
    <x:row r="59" spans="1:20">
      <x:c r="B59" s="16"/>
      <x:c r="C59" s="16"/>
      <x:c r="D59" s="16"/>
      <x:c r="E59" s="16"/>
      <x:c r="F59" s="16"/>
      <x:c r="G59" s="16"/>
      <x:c r="H59" s="16">
        <x:f>H37+H41+H49+H56</x:f>
      </x:c>
      <x:c r="I59" s="15"/>
    </x:row>
    <x:row r="60" spans="1:20">
      <x:c r="H60" s="17">
        <x:f>H59 - H35</x:f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FE2771D-50EC-354C-BA40-6D0335E7E2F6}" mc:Ignorable="x14ac xr xr2 xr3">
  <x:sheetPr>
    <x:outlinePr summaryBelow="1" summaryRight="1"/>
  </x:sheetPr>
  <x:dimension ref="A1:T61"/>
  <x:sheetViews>
    <x:sheetView topLeftCell="A29" zoomScale="67" zoomScaleNormal="67" workbookViewId="0">
      <x:selection activeCell="A35" sqref="A35"/>
    </x:sheetView>
  </x:sheetViews>
  <x:sheetFormatPr defaultColWidth="11.210625" defaultRowHeight="15.75"/>
  <x:cols>
    <x:col min="1" max="1" width="11.210625" style="0" customWidth="1"/>
    <x:col min="2" max="2" width="29.375" style="0" customWidth="1"/>
    <x:col min="3" max="3" width="3.125" style="0" customWidth="1"/>
    <x:col min="4" max="4" width="2.5" style="0" customWidth="1"/>
    <x:col min="5" max="5" width="1.875" style="0" customWidth="1"/>
  </x:cols>
  <x:sheetData>
    <x:row r="1" spans="1:2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</x:row>
    <x:row r="2" spans="1:20">
      <x:c r="A2" s="0">
        <x:v>1</x:v>
      </x:c>
      <x:c r="B2" s="0" t="s">
        <x:v>61</x:v>
      </x:c>
      <x:c r="C2" s="0" t="s">
        <x:v>21</x:v>
      </x:c>
      <x:c r="D2" s="0" t="s">
        <x:v>22</x:v>
      </x:c>
      <x:c r="E2" s="0">
        <x:v>1</x:v>
      </x:c>
      <x:c r="F2" s="0">
        <x:v>2</x:v>
      </x:c>
      <x:c r="G2" s="8">
        <x:v>250</x:v>
      </x:c>
      <x:c r="H2" s="8">
        <x:v>500</x:v>
      </x:c>
      <x:c r="I2" s="0" t="s">
        <x:v>23</x:v>
      </x:c>
      <x:c r="K2" s="8">
        <x:v>500</x:v>
      </x:c>
      <x:c r="L2" s="0" t="s">
        <x:v>24</x:v>
      </x:c>
      <x:c r="M2" s="0" t="s">
        <x:v>25</x:v>
      </x:c>
      <x:c r="N2" s="0" t="s">
        <x:v>26</x:v>
      </x:c>
      <x:c r="P2" s="0" t="s">
        <x:v>27</x:v>
      </x:c>
    </x:row>
    <x:row r="3" spans="1:20">
      <x:c r="A3" s="0">
        <x:v>2</x:v>
      </x:c>
      <x:c r="B3" s="0" t="s">
        <x:v>20</x:v>
      </x:c>
      <x:c r="C3" s="0" t="s">
        <x:v>21</x:v>
      </x:c>
      <x:c r="D3" s="0" t="s">
        <x:v>22</x:v>
      </x:c>
      <x:c r="E3" s="0">
        <x:v>1</x:v>
      </x:c>
      <x:c r="F3" s="0">
        <x:v>1</x:v>
      </x:c>
      <x:c r="G3" s="8">
        <x:v>127.5</x:v>
      </x:c>
      <x:c r="H3" s="8">
        <x:v>127.5</x:v>
      </x:c>
      <x:c r="I3" s="0" t="s">
        <x:v>23</x:v>
      </x:c>
      <x:c r="K3" s="8">
        <x:v>127.5</x:v>
      </x:c>
      <x:c r="L3" s="0" t="s">
        <x:v>24</x:v>
      </x:c>
      <x:c r="M3" s="0" t="s">
        <x:v>25</x:v>
      </x:c>
      <x:c r="N3" s="0" t="s">
        <x:v>26</x:v>
      </x:c>
      <x:c r="P3" s="0" t="s">
        <x:v>27</x:v>
      </x:c>
    </x:row>
    <x:row r="4" spans="1:20">
      <x:c r="A4" s="0">
        <x:v>3</x:v>
      </x:c>
      <x:c r="B4" s="0" t="s">
        <x:v>29</x:v>
      </x:c>
      <x:c r="C4" s="0" t="s">
        <x:v>21</x:v>
      </x:c>
      <x:c r="D4" s="0" t="s">
        <x:v>22</x:v>
      </x:c>
      <x:c r="E4" s="0">
        <x:v>1</x:v>
      </x:c>
      <x:c r="F4" s="0">
        <x:v>3</x:v>
      </x:c>
      <x:c r="G4" s="8">
        <x:v>237.5</x:v>
      </x:c>
      <x:c r="H4" s="8">
        <x:v>712.5</x:v>
      </x:c>
      <x:c r="I4" s="0" t="s">
        <x:v>23</x:v>
      </x:c>
      <x:c r="K4" s="8">
        <x:v>712.5</x:v>
      </x:c>
      <x:c r="L4" s="0" t="s">
        <x:v>24</x:v>
      </x:c>
      <x:c r="M4" s="0" t="s">
        <x:v>25</x:v>
      </x:c>
      <x:c r="N4" s="0" t="s">
        <x:v>26</x:v>
      </x:c>
      <x:c r="P4" s="0" t="s">
        <x:v>27</x:v>
      </x:c>
    </x:row>
    <x:row r="5" spans="1:20">
      <x:c r="A5" s="0">
        <x:v>4</x:v>
      </x:c>
      <x:c r="B5" s="0" t="s">
        <x:v>30</x:v>
      </x:c>
      <x:c r="C5" s="0" t="s">
        <x:v>21</x:v>
      </x:c>
      <x:c r="D5" s="0" t="s">
        <x:v>22</x:v>
      </x:c>
      <x:c r="E5" s="0">
        <x:v>1</x:v>
      </x:c>
      <x:c r="F5" s="0">
        <x:v>10</x:v>
      </x:c>
      <x:c r="G5" s="8">
        <x:v>297.3</x:v>
      </x:c>
      <x:c r="H5" s="8">
        <x:v>2973</x:v>
      </x:c>
      <x:c r="I5" s="0" t="s">
        <x:v>23</x:v>
      </x:c>
      <x:c r="K5" s="8">
        <x:v>2973</x:v>
      </x:c>
      <x:c r="L5" s="0" t="s">
        <x:v>24</x:v>
      </x:c>
      <x:c r="M5" s="0" t="s">
        <x:v>25</x:v>
      </x:c>
      <x:c r="N5" s="0" t="s">
        <x:v>26</x:v>
      </x:c>
      <x:c r="P5" s="0" t="s">
        <x:v>27</x:v>
      </x:c>
    </x:row>
    <x:row r="6" spans="1:20">
      <x:c r="A6" s="0">
        <x:v>5</x:v>
      </x:c>
      <x:c r="B6" s="0" t="s">
        <x:v>31</x:v>
      </x:c>
      <x:c r="C6" s="0" t="s">
        <x:v>21</x:v>
      </x:c>
      <x:c r="D6" s="0" t="s">
        <x:v>22</x:v>
      </x:c>
      <x:c r="E6" s="0">
        <x:v>1</x:v>
      </x:c>
      <x:c r="F6" s="0">
        <x:v>1</x:v>
      </x:c>
      <x:c r="G6" s="8">
        <x:v>100</x:v>
      </x:c>
      <x:c r="H6" s="8">
        <x:v>100</x:v>
      </x:c>
      <x:c r="I6" s="0" t="s">
        <x:v>23</x:v>
      </x:c>
      <x:c r="K6" s="8">
        <x:v>100</x:v>
      </x:c>
      <x:c r="L6" s="0" t="s">
        <x:v>24</x:v>
      </x:c>
      <x:c r="M6" s="0" t="s">
        <x:v>25</x:v>
      </x:c>
      <x:c r="N6" s="0" t="s">
        <x:v>26</x:v>
      </x:c>
      <x:c r="P6" s="0" t="s">
        <x:v>27</x:v>
      </x:c>
    </x:row>
    <x:row r="7" spans="1:20">
      <x:c r="A7" s="0">
        <x:v>6</x:v>
      </x:c>
      <x:c r="B7" s="0" t="s">
        <x:v>32</x:v>
      </x:c>
      <x:c r="C7" s="0" t="s">
        <x:v>21</x:v>
      </x:c>
      <x:c r="D7" s="0" t="s">
        <x:v>22</x:v>
      </x:c>
      <x:c r="E7" s="0">
        <x:v>1</x:v>
      </x:c>
      <x:c r="F7" s="0">
        <x:v>8</x:v>
      </x:c>
      <x:c r="G7" s="8">
        <x:v>80</x:v>
      </x:c>
      <x:c r="H7" s="8">
        <x:v>640</x:v>
      </x:c>
      <x:c r="I7" s="0" t="s">
        <x:v>23</x:v>
      </x:c>
      <x:c r="K7" s="8">
        <x:v>640</x:v>
      </x:c>
      <x:c r="L7" s="0" t="s">
        <x:v>24</x:v>
      </x:c>
      <x:c r="M7" s="0" t="s">
        <x:v>25</x:v>
      </x:c>
      <x:c r="N7" s="0" t="s">
        <x:v>26</x:v>
      </x:c>
      <x:c r="P7" s="0" t="s">
        <x:v>27</x:v>
      </x:c>
    </x:row>
    <x:row r="8" spans="1:20">
      <x:c r="A8" s="0">
        <x:v>7</x:v>
      </x:c>
      <x:c r="B8" s="0" t="s">
        <x:v>62</x:v>
      </x:c>
      <x:c r="C8" s="0" t="s">
        <x:v>21</x:v>
      </x:c>
      <x:c r="D8" s="0" t="s">
        <x:v>34</x:v>
      </x:c>
      <x:c r="E8" s="0">
        <x:v>1</x:v>
      </x:c>
      <x:c r="F8" s="0">
        <x:v>0.5</x:v>
      </x:c>
      <x:c r="G8" s="8">
        <x:v>3180</x:v>
      </x:c>
      <x:c r="H8" s="8">
        <x:v>1590</x:v>
      </x:c>
      <x:c r="I8" s="0" t="s">
        <x:v>23</x:v>
      </x:c>
      <x:c r="K8" s="8">
        <x:v>1590</x:v>
      </x:c>
      <x:c r="L8" s="0" t="s">
        <x:v>24</x:v>
      </x:c>
      <x:c r="M8" s="0" t="s">
        <x:v>25</x:v>
      </x:c>
      <x:c r="N8" s="0" t="s">
        <x:v>26</x:v>
      </x:c>
      <x:c r="P8" s="0" t="s">
        <x:v>27</x:v>
      </x:c>
    </x:row>
    <x:row r="9" spans="1:20">
      <x:c r="A9" s="0">
        <x:v>8</x:v>
      </x:c>
      <x:c r="B9" s="0" t="s">
        <x:v>63</x:v>
      </x:c>
      <x:c r="C9" s="0" t="s">
        <x:v>21</x:v>
      </x:c>
      <x:c r="D9" s="0" t="s">
        <x:v>34</x:v>
      </x:c>
      <x:c r="E9" s="0">
        <x:v>1</x:v>
      </x:c>
      <x:c r="F9" s="0">
        <x:v>0.1</x:v>
      </x:c>
      <x:c r="G9" s="8">
        <x:v>6580</x:v>
      </x:c>
      <x:c r="H9" s="8">
        <x:v>658</x:v>
      </x:c>
      <x:c r="I9" s="0" t="s">
        <x:v>23</x:v>
      </x:c>
      <x:c r="K9" s="8">
        <x:v>658</x:v>
      </x:c>
      <x:c r="L9" s="0" t="s">
        <x:v>24</x:v>
      </x:c>
      <x:c r="M9" s="0" t="s">
        <x:v>25</x:v>
      </x:c>
      <x:c r="N9" s="0" t="s">
        <x:v>26</x:v>
      </x:c>
      <x:c r="P9" s="0" t="s">
        <x:v>27</x:v>
      </x:c>
    </x:row>
    <x:row r="10" spans="1:20">
      <x:c r="A10" s="0">
        <x:v>9</x:v>
      </x:c>
      <x:c r="B10" s="0" t="s">
        <x:v>64</x:v>
      </x:c>
      <x:c r="C10" s="0" t="s">
        <x:v>21</x:v>
      </x:c>
      <x:c r="D10" s="0" t="s">
        <x:v>34</x:v>
      </x:c>
      <x:c r="E10" s="0">
        <x:v>1</x:v>
      </x:c>
      <x:c r="F10" s="0">
        <x:v>0.1</x:v>
      </x:c>
      <x:c r="G10" s="8">
        <x:v>3480</x:v>
      </x:c>
      <x:c r="H10" s="8">
        <x:v>348</x:v>
      </x:c>
      <x:c r="I10" s="0" t="s">
        <x:v>23</x:v>
      </x:c>
      <x:c r="K10" s="8">
        <x:v>348</x:v>
      </x:c>
      <x:c r="L10" s="0" t="s">
        <x:v>24</x:v>
      </x:c>
      <x:c r="M10" s="0" t="s">
        <x:v>25</x:v>
      </x:c>
      <x:c r="N10" s="0" t="s">
        <x:v>26</x:v>
      </x:c>
      <x:c r="P10" s="0" t="s">
        <x:v>27</x:v>
      </x:c>
    </x:row>
    <x:row r="11" spans="1:20">
      <x:c r="A11" s="0">
        <x:v>10</x:v>
      </x:c>
      <x:c r="B11" s="0" t="s">
        <x:v>65</x:v>
      </x:c>
      <x:c r="C11" s="0" t="s">
        <x:v>21</x:v>
      </x:c>
      <x:c r="D11" s="0" t="s">
        <x:v>34</x:v>
      </x:c>
      <x:c r="E11" s="0">
        <x:v>1</x:v>
      </x:c>
      <x:c r="F11" s="0">
        <x:v>0.117</x:v>
      </x:c>
      <x:c r="G11" s="8">
        <x:v>4680</x:v>
      </x:c>
      <x:c r="H11" s="8">
        <x:v>547.56</x:v>
      </x:c>
      <x:c r="I11" s="0" t="s">
        <x:v>23</x:v>
      </x:c>
      <x:c r="K11" s="8">
        <x:v>547.56</x:v>
      </x:c>
      <x:c r="L11" s="0" t="s">
        <x:v>24</x:v>
      </x:c>
      <x:c r="M11" s="0" t="s">
        <x:v>25</x:v>
      </x:c>
      <x:c r="N11" s="0" t="s">
        <x:v>26</x:v>
      </x:c>
      <x:c r="P11" s="0" t="s">
        <x:v>27</x:v>
      </x:c>
    </x:row>
    <x:row r="12" spans="1:20">
      <x:c r="A12" s="0">
        <x:v>11</x:v>
      </x:c>
      <x:c r="B12" s="0" t="s">
        <x:v>66</x:v>
      </x:c>
      <x:c r="C12" s="0" t="s">
        <x:v>21</x:v>
      </x:c>
      <x:c r="D12" s="0" t="s">
        <x:v>34</x:v>
      </x:c>
      <x:c r="E12" s="0">
        <x:v>1</x:v>
      </x:c>
      <x:c r="F12" s="0">
        <x:v>0.2</x:v>
      </x:c>
      <x:c r="G12" s="8">
        <x:v>4680</x:v>
      </x:c>
      <x:c r="H12" s="8">
        <x:v>936</x:v>
      </x:c>
      <x:c r="I12" s="0" t="s">
        <x:v>23</x:v>
      </x:c>
      <x:c r="K12" s="8">
        <x:v>936</x:v>
      </x:c>
      <x:c r="L12" s="0" t="s">
        <x:v>24</x:v>
      </x:c>
      <x:c r="M12" s="0" t="s">
        <x:v>25</x:v>
      </x:c>
      <x:c r="N12" s="0" t="s">
        <x:v>26</x:v>
      </x:c>
      <x:c r="P12" s="0" t="s">
        <x:v>27</x:v>
      </x:c>
    </x:row>
    <x:row r="13" spans="1:20">
      <x:c r="A13" s="0">
        <x:v>12</x:v>
      </x:c>
      <x:c r="B13" s="0" t="s">
        <x:v>67</x:v>
      </x:c>
      <x:c r="C13" s="0" t="s">
        <x:v>21</x:v>
      </x:c>
      <x:c r="D13" s="0" t="s">
        <x:v>34</x:v>
      </x:c>
      <x:c r="E13" s="0">
        <x:v>1</x:v>
      </x:c>
      <x:c r="F13" s="0">
        <x:v>0.1</x:v>
      </x:c>
      <x:c r="G13" s="8">
        <x:v>3180</x:v>
      </x:c>
      <x:c r="H13" s="8">
        <x:v>318</x:v>
      </x:c>
      <x:c r="I13" s="0" t="s">
        <x:v>23</x:v>
      </x:c>
      <x:c r="K13" s="8">
        <x:v>318</x:v>
      </x:c>
      <x:c r="L13" s="0" t="s">
        <x:v>24</x:v>
      </x:c>
      <x:c r="M13" s="0" t="s">
        <x:v>25</x:v>
      </x:c>
      <x:c r="N13" s="0" t="s">
        <x:v>26</x:v>
      </x:c>
      <x:c r="P13" s="0" t="s">
        <x:v>27</x:v>
      </x:c>
    </x:row>
    <x:row r="14" spans="1:20">
      <x:c r="A14" s="0">
        <x:v>13</x:v>
      </x:c>
      <x:c r="B14" s="0" t="s">
        <x:v>68</x:v>
      </x:c>
      <x:c r="C14" s="0" t="s">
        <x:v>21</x:v>
      </x:c>
      <x:c r="D14" s="0" t="s">
        <x:v>34</x:v>
      </x:c>
      <x:c r="E14" s="0">
        <x:v>1</x:v>
      </x:c>
      <x:c r="F14" s="0">
        <x:v>0.2</x:v>
      </x:c>
      <x:c r="G14" s="8">
        <x:v>3180</x:v>
      </x:c>
      <x:c r="H14" s="8">
        <x:v>636</x:v>
      </x:c>
      <x:c r="I14" s="0" t="s">
        <x:v>23</x:v>
      </x:c>
      <x:c r="K14" s="8">
        <x:v>636</x:v>
      </x:c>
      <x:c r="L14" s="0" t="s">
        <x:v>24</x:v>
      </x:c>
      <x:c r="M14" s="0" t="s">
        <x:v>25</x:v>
      </x:c>
      <x:c r="N14" s="0" t="s">
        <x:v>26</x:v>
      </x:c>
      <x:c r="P14" s="0" t="s">
        <x:v>27</x:v>
      </x:c>
    </x:row>
    <x:row r="15" spans="1:20">
      <x:c r="A15" s="0">
        <x:v>14</x:v>
      </x:c>
      <x:c r="B15" s="0" t="s">
        <x:v>69</x:v>
      </x:c>
      <x:c r="C15" s="0" t="s">
        <x:v>21</x:v>
      </x:c>
      <x:c r="D15" s="0" t="s">
        <x:v>34</x:v>
      </x:c>
      <x:c r="E15" s="0">
        <x:v>1</x:v>
      </x:c>
      <x:c r="F15" s="0">
        <x:v>0.1</x:v>
      </x:c>
      <x:c r="G15" s="8">
        <x:v>3400</x:v>
      </x:c>
      <x:c r="H15" s="8">
        <x:v>340</x:v>
      </x:c>
      <x:c r="I15" s="0" t="s">
        <x:v>23</x:v>
      </x:c>
      <x:c r="K15" s="8">
        <x:v>340</x:v>
      </x:c>
      <x:c r="L15" s="0" t="s">
        <x:v>24</x:v>
      </x:c>
      <x:c r="M15" s="0" t="s">
        <x:v>25</x:v>
      </x:c>
      <x:c r="N15" s="0" t="s">
        <x:v>26</x:v>
      </x:c>
      <x:c r="P15" s="0" t="s">
        <x:v>27</x:v>
      </x:c>
    </x:row>
    <x:row r="16" spans="1:20">
      <x:c r="A16" s="0">
        <x:v>15</x:v>
      </x:c>
      <x:c r="B16" s="0" t="s">
        <x:v>70</x:v>
      </x:c>
      <x:c r="C16" s="0" t="s">
        <x:v>21</x:v>
      </x:c>
      <x:c r="D16" s="0" t="s">
        <x:v>22</x:v>
      </x:c>
      <x:c r="E16" s="0">
        <x:v>1</x:v>
      </x:c>
      <x:c r="F16" s="0">
        <x:v>2</x:v>
      </x:c>
      <x:c r="G16" s="8">
        <x:v>231.05</x:v>
      </x:c>
      <x:c r="H16" s="8">
        <x:v>462.1</x:v>
      </x:c>
      <x:c r="I16" s="0" t="s">
        <x:v>23</x:v>
      </x:c>
      <x:c r="K16" s="8">
        <x:v>462.1</x:v>
      </x:c>
      <x:c r="L16" s="0" t="s">
        <x:v>24</x:v>
      </x:c>
      <x:c r="M16" s="0" t="s">
        <x:v>25</x:v>
      </x:c>
      <x:c r="N16" s="0" t="s">
        <x:v>26</x:v>
      </x:c>
      <x:c r="P16" s="0" t="s">
        <x:v>27</x:v>
      </x:c>
    </x:row>
    <x:row r="17" spans="1:20">
      <x:c r="A17" s="0">
        <x:v>16</x:v>
      </x:c>
      <x:c r="B17" s="0" t="s">
        <x:v>39</x:v>
      </x:c>
      <x:c r="C17" s="0" t="s">
        <x:v>21</x:v>
      </x:c>
      <x:c r="D17" s="0" t="s">
        <x:v>22</x:v>
      </x:c>
      <x:c r="E17" s="0">
        <x:v>1</x:v>
      </x:c>
      <x:c r="F17" s="0">
        <x:v>5</x:v>
      </x:c>
      <x:c r="G17" s="8">
        <x:v>192.9</x:v>
      </x:c>
      <x:c r="H17" s="8">
        <x:v>964.5</x:v>
      </x:c>
      <x:c r="I17" s="0" t="s">
        <x:v>23</x:v>
      </x:c>
      <x:c r="K17" s="8">
        <x:v>964.5</x:v>
      </x:c>
      <x:c r="L17" s="0" t="s">
        <x:v>24</x:v>
      </x:c>
      <x:c r="M17" s="0" t="s">
        <x:v>25</x:v>
      </x:c>
      <x:c r="N17" s="0" t="s">
        <x:v>26</x:v>
      </x:c>
      <x:c r="P17" s="0" t="s">
        <x:v>27</x:v>
      </x:c>
    </x:row>
    <x:row r="18" spans="1:20">
      <x:c r="A18" s="0">
        <x:v>17</x:v>
      </x:c>
      <x:c r="B18" s="0" t="s">
        <x:v>40</x:v>
      </x:c>
      <x:c r="C18" s="0" t="s">
        <x:v>21</x:v>
      </x:c>
      <x:c r="D18" s="0" t="s">
        <x:v>22</x:v>
      </x:c>
      <x:c r="E18" s="0">
        <x:v>1</x:v>
      </x:c>
      <x:c r="F18" s="0">
        <x:v>3</x:v>
      </x:c>
      <x:c r="G18" s="8">
        <x:v>395.67</x:v>
      </x:c>
      <x:c r="H18" s="8">
        <x:v>1187</x:v>
      </x:c>
      <x:c r="I18" s="0" t="s">
        <x:v>23</x:v>
      </x:c>
      <x:c r="K18" s="8">
        <x:v>1187</x:v>
      </x:c>
      <x:c r="L18" s="0" t="s">
        <x:v>24</x:v>
      </x:c>
      <x:c r="M18" s="0" t="s">
        <x:v>25</x:v>
      </x:c>
      <x:c r="N18" s="0" t="s">
        <x:v>26</x:v>
      </x:c>
      <x:c r="P18" s="0" t="s">
        <x:v>27</x:v>
      </x:c>
    </x:row>
    <x:row r="19" spans="1:20">
      <x:c r="A19" s="0">
        <x:v>18</x:v>
      </x:c>
      <x:c r="B19" s="0" t="s">
        <x:v>41</x:v>
      </x:c>
      <x:c r="C19" s="0" t="s">
        <x:v>21</x:v>
      </x:c>
      <x:c r="D19" s="0" t="s">
        <x:v>22</x:v>
      </x:c>
      <x:c r="E19" s="0">
        <x:v>1</x:v>
      </x:c>
      <x:c r="F19" s="0">
        <x:v>2</x:v>
      </x:c>
      <x:c r="G19" s="8">
        <x:v>300</x:v>
      </x:c>
      <x:c r="H19" s="8">
        <x:v>600</x:v>
      </x:c>
      <x:c r="I19" s="0" t="s">
        <x:v>23</x:v>
      </x:c>
      <x:c r="K19" s="8">
        <x:v>600</x:v>
      </x:c>
      <x:c r="L19" s="0" t="s">
        <x:v>24</x:v>
      </x:c>
      <x:c r="M19" s="0" t="s">
        <x:v>25</x:v>
      </x:c>
      <x:c r="N19" s="0" t="s">
        <x:v>26</x:v>
      </x:c>
      <x:c r="P19" s="0" t="s">
        <x:v>27</x:v>
      </x:c>
    </x:row>
    <x:row r="20" spans="1:20">
      <x:c r="A20" s="0">
        <x:v>19</x:v>
      </x:c>
      <x:c r="B20" s="0" t="s">
        <x:v>44</x:v>
      </x:c>
      <x:c r="C20" s="0" t="s">
        <x:v>21</x:v>
      </x:c>
      <x:c r="D20" s="0" t="s">
        <x:v>22</x:v>
      </x:c>
      <x:c r="E20" s="0">
        <x:v>1</x:v>
      </x:c>
      <x:c r="F20" s="0">
        <x:v>3</x:v>
      </x:c>
      <x:c r="G20" s="8">
        <x:v>85</x:v>
      </x:c>
      <x:c r="H20" s="8">
        <x:v>255</x:v>
      </x:c>
      <x:c r="I20" s="0" t="s">
        <x:v>23</x:v>
      </x:c>
      <x:c r="K20" s="8">
        <x:v>255</x:v>
      </x:c>
      <x:c r="L20" s="0" t="s">
        <x:v>24</x:v>
      </x:c>
      <x:c r="M20" s="0" t="s">
        <x:v>25</x:v>
      </x:c>
      <x:c r="N20" s="0" t="s">
        <x:v>26</x:v>
      </x:c>
      <x:c r="P20" s="0" t="s">
        <x:v>27</x:v>
      </x:c>
    </x:row>
    <x:row r="21" spans="1:20">
      <x:c r="A21" s="0">
        <x:v>20</x:v>
      </x:c>
      <x:c r="B21" s="0" t="s">
        <x:v>45</x:v>
      </x:c>
      <x:c r="C21" s="0" t="s">
        <x:v>21</x:v>
      </x:c>
      <x:c r="D21" s="0" t="s">
        <x:v>22</x:v>
      </x:c>
      <x:c r="E21" s="0">
        <x:v>1</x:v>
      </x:c>
      <x:c r="F21" s="0">
        <x:v>2</x:v>
      </x:c>
      <x:c r="G21" s="8">
        <x:v>82.5</x:v>
      </x:c>
      <x:c r="H21" s="8">
        <x:v>165</x:v>
      </x:c>
      <x:c r="I21" s="0" t="s">
        <x:v>23</x:v>
      </x:c>
      <x:c r="K21" s="8">
        <x:v>165</x:v>
      </x:c>
      <x:c r="L21" s="0" t="s">
        <x:v>24</x:v>
      </x:c>
      <x:c r="M21" s="0" t="s">
        <x:v>25</x:v>
      </x:c>
      <x:c r="N21" s="0" t="s">
        <x:v>26</x:v>
      </x:c>
      <x:c r="P21" s="0" t="s">
        <x:v>27</x:v>
      </x:c>
    </x:row>
    <x:row r="22" spans="1:20">
      <x:c r="A22" s="0">
        <x:v>21</x:v>
      </x:c>
      <x:c r="B22" s="0" t="s">
        <x:v>46</x:v>
      </x:c>
      <x:c r="C22" s="0" t="s">
        <x:v>21</x:v>
      </x:c>
      <x:c r="D22" s="0" t="s">
        <x:v>22</x:v>
      </x:c>
      <x:c r="E22" s="0">
        <x:v>1</x:v>
      </x:c>
      <x:c r="F22" s="0">
        <x:v>5</x:v>
      </x:c>
      <x:c r="G22" s="8">
        <x:v>162</x:v>
      </x:c>
      <x:c r="H22" s="8">
        <x:v>810</x:v>
      </x:c>
      <x:c r="I22" s="0" t="s">
        <x:v>23</x:v>
      </x:c>
      <x:c r="K22" s="8">
        <x:v>810</x:v>
      </x:c>
      <x:c r="L22" s="0" t="s">
        <x:v>24</x:v>
      </x:c>
      <x:c r="M22" s="0" t="s">
        <x:v>25</x:v>
      </x:c>
      <x:c r="N22" s="0" t="s">
        <x:v>26</x:v>
      </x:c>
      <x:c r="P22" s="0" t="s">
        <x:v>27</x:v>
      </x:c>
    </x:row>
    <x:row r="23" spans="1:20">
      <x:c r="A23" s="0">
        <x:v>22</x:v>
      </x:c>
      <x:c r="B23" s="0" t="s">
        <x:v>47</x:v>
      </x:c>
      <x:c r="C23" s="0" t="s">
        <x:v>21</x:v>
      </x:c>
      <x:c r="D23" s="0" t="s">
        <x:v>22</x:v>
      </x:c>
      <x:c r="E23" s="0">
        <x:v>1</x:v>
      </x:c>
      <x:c r="F23" s="0">
        <x:v>3</x:v>
      </x:c>
      <x:c r="G23" s="8">
        <x:v>270</x:v>
      </x:c>
      <x:c r="H23" s="8">
        <x:v>810</x:v>
      </x:c>
      <x:c r="I23" s="0" t="s">
        <x:v>23</x:v>
      </x:c>
      <x:c r="K23" s="8">
        <x:v>810</x:v>
      </x:c>
      <x:c r="L23" s="0" t="s">
        <x:v>24</x:v>
      </x:c>
      <x:c r="M23" s="0" t="s">
        <x:v>25</x:v>
      </x:c>
      <x:c r="N23" s="0" t="s">
        <x:v>26</x:v>
      </x:c>
      <x:c r="P23" s="0" t="s">
        <x:v>27</x:v>
      </x:c>
    </x:row>
    <x:row r="24" spans="1:20">
      <x:c r="A24" s="0">
        <x:v>23</x:v>
      </x:c>
      <x:c r="B24" s="0" t="s">
        <x:v>71</x:v>
      </x:c>
      <x:c r="C24" s="0" t="s">
        <x:v>21</x:v>
      </x:c>
      <x:c r="D24" s="0" t="s">
        <x:v>22</x:v>
      </x:c>
      <x:c r="E24" s="0">
        <x:v>1</x:v>
      </x:c>
      <x:c r="F24" s="0">
        <x:v>2</x:v>
      </x:c>
      <x:c r="G24" s="8">
        <x:v>138.75</x:v>
      </x:c>
      <x:c r="H24" s="8">
        <x:v>277.5</x:v>
      </x:c>
      <x:c r="I24" s="0" t="s">
        <x:v>23</x:v>
      </x:c>
      <x:c r="K24" s="8">
        <x:v>277.5</x:v>
      </x:c>
      <x:c r="L24" s="0" t="s">
        <x:v>24</x:v>
      </x:c>
      <x:c r="M24" s="0" t="s">
        <x:v>25</x:v>
      </x:c>
      <x:c r="N24" s="0" t="s">
        <x:v>26</x:v>
      </x:c>
      <x:c r="P24" s="0" t="s">
        <x:v>27</x:v>
      </x:c>
    </x:row>
    <x:row r="25" spans="1:20">
      <x:c r="A25" s="0">
        <x:v>24</x:v>
      </x:c>
      <x:c r="B25" s="0" t="s">
        <x:v>72</x:v>
      </x:c>
      <x:c r="C25" s="0" t="s">
        <x:v>21</x:v>
      </x:c>
      <x:c r="D25" s="0" t="s">
        <x:v>22</x:v>
      </x:c>
      <x:c r="E25" s="0">
        <x:v>1</x:v>
      </x:c>
      <x:c r="F25" s="0">
        <x:v>4</x:v>
      </x:c>
      <x:c r="G25" s="8">
        <x:v>23.5</x:v>
      </x:c>
      <x:c r="H25" s="8">
        <x:v>94</x:v>
      </x:c>
      <x:c r="I25" s="0" t="s">
        <x:v>23</x:v>
      </x:c>
      <x:c r="K25" s="8">
        <x:v>94</x:v>
      </x:c>
      <x:c r="L25" s="0" t="s">
        <x:v>24</x:v>
      </x:c>
      <x:c r="M25" s="0" t="s">
        <x:v>25</x:v>
      </x:c>
      <x:c r="N25" s="0" t="s">
        <x:v>26</x:v>
      </x:c>
      <x:c r="P25" s="0" t="s">
        <x:v>27</x:v>
      </x:c>
    </x:row>
    <x:row r="26" spans="1:20">
      <x:c r="A26" s="0">
        <x:v>25</x:v>
      </x:c>
      <x:c r="B26" s="0" t="s">
        <x:v>50</x:v>
      </x:c>
      <x:c r="C26" s="0" t="s">
        <x:v>21</x:v>
      </x:c>
      <x:c r="D26" s="0" t="s">
        <x:v>22</x:v>
      </x:c>
      <x:c r="E26" s="0">
        <x:v>1</x:v>
      </x:c>
      <x:c r="F26" s="0">
        <x:v>1</x:v>
      </x:c>
      <x:c r="G26" s="8">
        <x:v>180</x:v>
      </x:c>
      <x:c r="H26" s="8">
        <x:v>180</x:v>
      </x:c>
      <x:c r="I26" s="0" t="s">
        <x:v>23</x:v>
      </x:c>
      <x:c r="K26" s="8">
        <x:v>180</x:v>
      </x:c>
      <x:c r="L26" s="0" t="s">
        <x:v>24</x:v>
      </x:c>
      <x:c r="M26" s="0" t="s">
        <x:v>25</x:v>
      </x:c>
      <x:c r="N26" s="0" t="s">
        <x:v>26</x:v>
      </x:c>
      <x:c r="P26" s="0" t="s">
        <x:v>27</x:v>
      </x:c>
    </x:row>
    <x:row r="27" spans="1:20">
      <x:c r="A27" s="0">
        <x:v>26</x:v>
      </x:c>
      <x:c r="B27" s="0" t="s">
        <x:v>51</x:v>
      </x:c>
      <x:c r="C27" s="0" t="s">
        <x:v>21</x:v>
      </x:c>
      <x:c r="D27" s="0" t="s">
        <x:v>22</x:v>
      </x:c>
      <x:c r="E27" s="0">
        <x:v>1</x:v>
      </x:c>
      <x:c r="F27" s="0">
        <x:v>6</x:v>
      </x:c>
      <x:c r="G27" s="8">
        <x:v>58.48</x:v>
      </x:c>
      <x:c r="H27" s="8">
        <x:v>350.9</x:v>
      </x:c>
      <x:c r="I27" s="0" t="s">
        <x:v>23</x:v>
      </x:c>
      <x:c r="K27" s="8">
        <x:v>350.9</x:v>
      </x:c>
      <x:c r="L27" s="0" t="s">
        <x:v>24</x:v>
      </x:c>
      <x:c r="M27" s="0" t="s">
        <x:v>25</x:v>
      </x:c>
      <x:c r="N27" s="0" t="s">
        <x:v>26</x:v>
      </x:c>
      <x:c r="P27" s="0" t="s">
        <x:v>27</x:v>
      </x:c>
    </x:row>
    <x:row r="28" spans="1:20">
      <x:c r="A28" s="0">
        <x:v>27</x:v>
      </x:c>
      <x:c r="B28" s="0" t="s">
        <x:v>52</x:v>
      </x:c>
      <x:c r="C28" s="0" t="s">
        <x:v>21</x:v>
      </x:c>
      <x:c r="D28" s="0" t="s">
        <x:v>22</x:v>
      </x:c>
      <x:c r="E28" s="0">
        <x:v>1</x:v>
      </x:c>
      <x:c r="F28" s="0">
        <x:v>1</x:v>
      </x:c>
      <x:c r="G28" s="8">
        <x:v>221.4</x:v>
      </x:c>
      <x:c r="H28" s="8">
        <x:v>221.4</x:v>
      </x:c>
      <x:c r="I28" s="0" t="s">
        <x:v>23</x:v>
      </x:c>
      <x:c r="K28" s="8">
        <x:v>221.4</x:v>
      </x:c>
      <x:c r="L28" s="0" t="s">
        <x:v>24</x:v>
      </x:c>
      <x:c r="M28" s="0" t="s">
        <x:v>25</x:v>
      </x:c>
      <x:c r="N28" s="0" t="s">
        <x:v>26</x:v>
      </x:c>
      <x:c r="P28" s="0" t="s">
        <x:v>27</x:v>
      </x:c>
    </x:row>
    <x:row r="29" spans="1:20">
      <x:c r="A29" s="0">
        <x:v>28</x:v>
      </x:c>
      <x:c r="B29" s="0" t="s">
        <x:v>53</x:v>
      </x:c>
      <x:c r="C29" s="0" t="s">
        <x:v>21</x:v>
      </x:c>
      <x:c r="D29" s="0" t="s">
        <x:v>22</x:v>
      </x:c>
      <x:c r="E29" s="0">
        <x:v>1</x:v>
      </x:c>
      <x:c r="F29" s="0">
        <x:v>5</x:v>
      </x:c>
      <x:c r="G29" s="8">
        <x:v>38.56</x:v>
      </x:c>
      <x:c r="H29" s="8">
        <x:v>192.8</x:v>
      </x:c>
      <x:c r="I29" s="0" t="s">
        <x:v>23</x:v>
      </x:c>
      <x:c r="K29" s="8">
        <x:v>192.8</x:v>
      </x:c>
      <x:c r="L29" s="0" t="s">
        <x:v>24</x:v>
      </x:c>
      <x:c r="M29" s="0" t="s">
        <x:v>25</x:v>
      </x:c>
      <x:c r="N29" s="0" t="s">
        <x:v>26</x:v>
      </x:c>
      <x:c r="P29" s="0" t="s">
        <x:v>27</x:v>
      </x:c>
    </x:row>
    <x:row r="30" spans="1:20">
      <x:c r="A30" s="0">
        <x:v>29</x:v>
      </x:c>
      <x:c r="B30" s="0" t="s">
        <x:v>55</x:v>
      </x:c>
      <x:c r="C30" s="0" t="s">
        <x:v>21</x:v>
      </x:c>
      <x:c r="D30" s="0" t="s">
        <x:v>22</x:v>
      </x:c>
      <x:c r="E30" s="0">
        <x:v>1</x:v>
      </x:c>
      <x:c r="F30" s="0">
        <x:v>2</x:v>
      </x:c>
      <x:c r="G30" s="8">
        <x:v>350</x:v>
      </x:c>
      <x:c r="H30" s="8">
        <x:v>700</x:v>
      </x:c>
      <x:c r="I30" s="0" t="s">
        <x:v>23</x:v>
      </x:c>
      <x:c r="K30" s="8">
        <x:v>700</x:v>
      </x:c>
      <x:c r="L30" s="0" t="s">
        <x:v>24</x:v>
      </x:c>
      <x:c r="M30" s="0" t="s">
        <x:v>25</x:v>
      </x:c>
      <x:c r="N30" s="0" t="s">
        <x:v>26</x:v>
      </x:c>
      <x:c r="P30" s="0" t="s">
        <x:v>27</x:v>
      </x:c>
    </x:row>
    <x:row r="31" spans="1:20">
      <x:c r="A31" s="0">
        <x:v>30</x:v>
      </x:c>
      <x:c r="B31" s="0" t="s">
        <x:v>57</x:v>
      </x:c>
      <x:c r="C31" s="0" t="s">
        <x:v>21</x:v>
      </x:c>
      <x:c r="D31" s="0" t="s">
        <x:v>22</x:v>
      </x:c>
      <x:c r="E31" s="0">
        <x:v>1</x:v>
      </x:c>
      <x:c r="F31" s="0">
        <x:v>8</x:v>
      </x:c>
      <x:c r="G31" s="8">
        <x:v>144.38</x:v>
      </x:c>
      <x:c r="H31" s="8">
        <x:v>1155</x:v>
      </x:c>
      <x:c r="I31" s="0" t="s">
        <x:v>23</x:v>
      </x:c>
      <x:c r="K31" s="8">
        <x:v>1155</x:v>
      </x:c>
      <x:c r="L31" s="0" t="s">
        <x:v>24</x:v>
      </x:c>
      <x:c r="M31" s="0" t="s">
        <x:v>25</x:v>
      </x:c>
      <x:c r="N31" s="0" t="s">
        <x:v>26</x:v>
      </x:c>
      <x:c r="P31" s="0" t="s">
        <x:v>27</x:v>
      </x:c>
    </x:row>
    <x:row r="32" spans="1:20">
      <x:c r="A32" s="0">
        <x:v>31</x:v>
      </x:c>
      <x:c r="B32" s="0" t="s">
        <x:v>58</x:v>
      </x:c>
      <x:c r="C32" s="0" t="s">
        <x:v>21</x:v>
      </x:c>
      <x:c r="D32" s="0" t="s">
        <x:v>22</x:v>
      </x:c>
      <x:c r="E32" s="0">
        <x:v>1</x:v>
      </x:c>
      <x:c r="F32" s="0">
        <x:v>3</x:v>
      </x:c>
      <x:c r="G32" s="8">
        <x:v>280</x:v>
      </x:c>
      <x:c r="H32" s="8">
        <x:v>840</x:v>
      </x:c>
      <x:c r="I32" s="0" t="s">
        <x:v>23</x:v>
      </x:c>
      <x:c r="K32" s="8">
        <x:v>840</x:v>
      </x:c>
      <x:c r="L32" s="0" t="s">
        <x:v>24</x:v>
      </x:c>
      <x:c r="M32" s="0" t="s">
        <x:v>25</x:v>
      </x:c>
      <x:c r="N32" s="0" t="s">
        <x:v>26</x:v>
      </x:c>
      <x:c r="P32" s="0" t="s">
        <x:v>27</x:v>
      </x:c>
    </x:row>
    <x:row r="33" spans="1:20">
      <x:c r="A33" s="0">
        <x:v>32</x:v>
      </x:c>
      <x:c r="B33" s="0" t="s">
        <x:v>73</x:v>
      </x:c>
      <x:c r="C33" s="0" t="s">
        <x:v>21</x:v>
      </x:c>
      <x:c r="D33" s="0" t="s">
        <x:v>34</x:v>
      </x:c>
      <x:c r="E33" s="0">
        <x:v>1</x:v>
      </x:c>
      <x:c r="F33" s="0">
        <x:v>0.1</x:v>
      </x:c>
      <x:c r="G33" s="8">
        <x:v>3000</x:v>
      </x:c>
      <x:c r="H33" s="8">
        <x:v>300</x:v>
      </x:c>
      <x:c r="I33" s="0" t="s">
        <x:v>23</x:v>
      </x:c>
      <x:c r="K33" s="8">
        <x:v>300</x:v>
      </x:c>
      <x:c r="L33" s="0" t="s">
        <x:v>24</x:v>
      </x:c>
      <x:c r="M33" s="0" t="s">
        <x:v>25</x:v>
      </x:c>
      <x:c r="N33" s="0" t="s">
        <x:v>26</x:v>
      </x:c>
      <x:c r="P33" s="0" t="s">
        <x:v>27</x:v>
      </x:c>
    </x:row>
    <x:row r="34" spans="1:20">
      <x:c r="A34" s="0">
        <x:v>33</x:v>
      </x:c>
      <x:c r="B34" s="0" t="s">
        <x:v>60</x:v>
      </x:c>
      <x:c r="C34" s="0" t="s">
        <x:v>21</x:v>
      </x:c>
      <x:c r="D34" s="0" t="s">
        <x:v>22</x:v>
      </x:c>
      <x:c r="E34" s="0">
        <x:v>1</x:v>
      </x:c>
      <x:c r="F34" s="0">
        <x:v>3</x:v>
      </x:c>
      <x:c r="G34" s="8">
        <x:v>146.33</x:v>
      </x:c>
      <x:c r="H34" s="8">
        <x:v>439</x:v>
      </x:c>
      <x:c r="I34" s="0" t="s">
        <x:v>23</x:v>
      </x:c>
      <x:c r="K34" s="8">
        <x:v>439</x:v>
      </x:c>
      <x:c r="L34" s="0" t="s">
        <x:v>24</x:v>
      </x:c>
      <x:c r="M34" s="0" t="s">
        <x:v>25</x:v>
      </x:c>
      <x:c r="N34" s="0" t="s">
        <x:v>26</x:v>
      </x:c>
      <x:c r="P34" s="0" t="s">
        <x:v>27</x:v>
      </x:c>
    </x:row>
    <x:row r="35" spans="1:20">
      <x:c r="B35" s="9"/>
      <x:c r="C35" s="9"/>
      <x:c r="D35" s="9"/>
      <x:c r="E35" s="9"/>
      <x:c r="F35" s="9"/>
      <x:c r="G35" s="9"/>
      <x:c r="H35" s="10">
        <x:f>SUM(H2:H34)</x:f>
      </x:c>
      <x:c r="I35" s="9"/>
    </x:row>
    <x:row r="36" spans="1:20">
      <x:c r="B36" s="9"/>
      <x:c r="C36" s="9"/>
      <x:c r="D36" s="9"/>
      <x:c r="E36" s="9"/>
      <x:c r="F36" s="9"/>
      <x:c r="G36" s="9"/>
      <x:c r="H36" s="9"/>
      <x:c r="I36" s="9"/>
    </x:row>
    <x:row r="37" spans="1:20">
      <x:c r="B37" s="11" t="s">
        <x:v>163</x:v>
      </x:c>
      <x:c r="C37" s="12"/>
      <x:c r="D37" s="12"/>
      <x:c r="E37" s="12"/>
      <x:c r="F37" s="12"/>
      <x:c r="G37" s="12"/>
      <x:c r="H37" s="12">
        <x:f>SUM(H38:H40)</x:f>
      </x:c>
      <x:c r="I37" s="13" t="s">
        <x:v>164</x:v>
      </x:c>
    </x:row>
    <x:row r="38" spans="1:20">
      <x:c r="B38" s="12" t="s">
        <x:v>165</x:v>
      </x:c>
      <x:c r="C38" s="12"/>
      <x:c r="D38" s="12"/>
      <x:c r="E38" s="12"/>
      <x:c r="F38" s="14">
        <x:f>F2+F3+F4+F5+F16+F17+F18+F19+F23+F24+F28+F31+F32+F34</x:f>
      </x:c>
      <x:c r="G38" s="14">
        <x:f>G2+G3+G4+G5+G16+G17+G18+G19+G23+G24+G28+G31+G32+G34</x:f>
      </x:c>
      <x:c r="H38" s="14">
        <x:f>H2+H3+H4+H5+H16+H17+H18+H19+H23+H24+H28+H31+H32+H34</x:f>
      </x:c>
      <x:c r="I38" s="13"/>
    </x:row>
    <x:row r="39" spans="1:20">
      <x:c r="B39" s="12" t="s">
        <x:v>166</x:v>
      </x:c>
      <x:c r="C39" s="12"/>
      <x:c r="D39" s="12"/>
      <x:c r="E39" s="12"/>
      <x:c r="F39" s="14"/>
      <x:c r="G39" s="14"/>
      <x:c r="H39" s="14"/>
      <x:c r="I39" s="13"/>
    </x:row>
    <x:row r="40" spans="1:20">
      <x:c r="B40" s="12" t="s">
        <x:v>167</x:v>
      </x:c>
      <x:c r="C40" s="12"/>
      <x:c r="D40" s="12"/>
      <x:c r="E40" s="12"/>
      <x:c r="F40" s="14">
        <x:f>F6+F25+F27+F29</x:f>
      </x:c>
      <x:c r="G40" s="14">
        <x:f>G6+G25+G27+G29</x:f>
      </x:c>
      <x:c r="H40" s="14">
        <x:f>H6+H25+H27+H29</x:f>
      </x:c>
      <x:c r="I40" s="13"/>
    </x:row>
    <x:row r="41" spans="1:20">
      <x:c r="B41" s="11" t="s">
        <x:v>168</x:v>
      </x:c>
      <x:c r="C41" s="12"/>
      <x:c r="D41" s="12"/>
      <x:c r="E41" s="12"/>
      <x:c r="F41" s="12"/>
      <x:c r="G41" s="12"/>
      <x:c r="H41" s="12">
        <x:f>SUM(H42:H48)</x:f>
      </x:c>
      <x:c r="I41" s="13" t="s">
        <x:v>169</x:v>
      </x:c>
    </x:row>
    <x:row r="42" spans="1:20">
      <x:c r="B42" s="12" t="s">
        <x:v>170</x:v>
      </x:c>
      <x:c r="C42" s="12"/>
      <x:c r="D42" s="12"/>
      <x:c r="E42" s="12"/>
      <x:c r="F42" s="14">
        <x:f>F8+F9+F10+F11+F12+F13+F14</x:f>
      </x:c>
      <x:c r="G42" s="14">
        <x:f>G8+G9+G10+G11+G12+G13+G14</x:f>
      </x:c>
      <x:c r="H42" s="14">
        <x:f>H8+H9+H10+H11+H12+H13+H14</x:f>
      </x:c>
      <x:c r="I42" s="13"/>
    </x:row>
    <x:row r="43" spans="1:20">
      <x:c r="B43" s="12" t="s">
        <x:v>171</x:v>
      </x:c>
      <x:c r="C43" s="12"/>
      <x:c r="D43" s="12"/>
      <x:c r="E43" s="12"/>
      <x:c r="F43" s="14"/>
      <x:c r="G43" s="14"/>
      <x:c r="H43" s="14"/>
      <x:c r="I43" s="13"/>
    </x:row>
    <x:row r="44" spans="1:20">
      <x:c r="B44" s="12" t="s">
        <x:v>172</x:v>
      </x:c>
      <x:c r="C44" s="12"/>
      <x:c r="D44" s="12"/>
      <x:c r="E44" s="12"/>
      <x:c r="F44" s="14">
        <x:f>F7</x:f>
      </x:c>
      <x:c r="G44" s="14">
        <x:f>G7</x:f>
      </x:c>
      <x:c r="H44" s="14">
        <x:f>H7</x:f>
      </x:c>
      <x:c r="I44" s="13"/>
    </x:row>
    <x:row r="45" spans="1:20">
      <x:c r="B45" s="12" t="s">
        <x:v>173</x:v>
      </x:c>
      <x:c r="C45" s="12"/>
      <x:c r="D45" s="12"/>
      <x:c r="E45" s="12"/>
      <x:c r="F45" s="14">
        <x:f>F15+F33</x:f>
      </x:c>
      <x:c r="G45" s="14">
        <x:f>G15+G33</x:f>
      </x:c>
      <x:c r="H45" s="14">
        <x:f>H15+H33</x:f>
      </x:c>
      <x:c r="I45" s="13"/>
    </x:row>
    <x:row r="46" spans="1:20">
      <x:c r="B46" s="12" t="s">
        <x:v>174</x:v>
      </x:c>
      <x:c r="C46" s="12"/>
      <x:c r="D46" s="12"/>
      <x:c r="E46" s="12"/>
      <x:c r="F46" s="14"/>
      <x:c r="G46" s="14"/>
      <x:c r="H46" s="14"/>
      <x:c r="I46" s="13"/>
    </x:row>
    <x:row r="47" spans="1:20">
      <x:c r="B47" s="12" t="s">
        <x:v>70</x:v>
      </x:c>
      <x:c r="C47" s="12"/>
      <x:c r="D47" s="12"/>
      <x:c r="E47" s="12"/>
      <x:c r="F47" s="14"/>
      <x:c r="G47" s="14"/>
      <x:c r="H47" s="14"/>
      <x:c r="I47" s="13"/>
    </x:row>
    <x:row r="48" spans="1:20">
      <x:c r="B48" s="12" t="s">
        <x:v>175</x:v>
      </x:c>
      <x:c r="C48" s="12"/>
      <x:c r="D48" s="12"/>
      <x:c r="E48" s="12"/>
      <x:c r="F48" s="14"/>
      <x:c r="G48" s="14"/>
      <x:c r="H48" s="14"/>
      <x:c r="I48" s="13"/>
    </x:row>
    <x:row r="49" spans="1:20">
      <x:c r="B49" s="11" t="s">
        <x:v>176</x:v>
      </x:c>
      <x:c r="C49" s="12"/>
      <x:c r="D49" s="12"/>
      <x:c r="E49" s="12"/>
      <x:c r="F49" s="12"/>
      <x:c r="G49" s="12"/>
      <x:c r="H49" s="12">
        <x:f>SUM(H50:H55)</x:f>
      </x:c>
      <x:c r="I49" s="13" t="s">
        <x:v>177</x:v>
      </x:c>
    </x:row>
    <x:row r="50" spans="1:20">
      <x:c r="B50" s="12" t="s">
        <x:v>178</x:v>
      </x:c>
      <x:c r="C50" s="12"/>
      <x:c r="D50" s="12"/>
      <x:c r="E50" s="12"/>
      <x:c r="F50" s="14"/>
      <x:c r="G50" s="14"/>
      <x:c r="H50" s="14"/>
      <x:c r="I50" s="13"/>
    </x:row>
    <x:row r="51" spans="1:20">
      <x:c r="B51" s="12" t="s">
        <x:v>179</x:v>
      </x:c>
      <x:c r="C51" s="12"/>
      <x:c r="D51" s="12"/>
      <x:c r="E51" s="12"/>
      <x:c r="F51" s="14">
        <x:f>F30</x:f>
      </x:c>
      <x:c r="G51" s="14">
        <x:f>G30</x:f>
      </x:c>
      <x:c r="H51" s="14">
        <x:f>H30</x:f>
      </x:c>
      <x:c r="I51" s="13"/>
    </x:row>
    <x:row r="52" spans="1:20">
      <x:c r="B52" s="12" t="s">
        <x:v>54</x:v>
      </x:c>
      <x:c r="C52" s="12"/>
      <x:c r="D52" s="12"/>
      <x:c r="E52" s="12"/>
      <x:c r="F52" s="14"/>
      <x:c r="G52" s="14"/>
      <x:c r="H52" s="14"/>
      <x:c r="I52" s="13"/>
    </x:row>
    <x:row r="53" spans="1:20">
      <x:c r="B53" s="12" t="s">
        <x:v>180</x:v>
      </x:c>
      <x:c r="C53" s="12"/>
      <x:c r="D53" s="12"/>
      <x:c r="E53" s="12"/>
      <x:c r="F53" s="14"/>
      <x:c r="G53" s="14"/>
      <x:c r="H53" s="14"/>
      <x:c r="I53" s="13"/>
    </x:row>
    <x:row r="54" spans="1:20">
      <x:c r="B54" s="12" t="s">
        <x:v>181</x:v>
      </x:c>
      <x:c r="C54" s="12"/>
      <x:c r="D54" s="12"/>
      <x:c r="E54" s="12"/>
      <x:c r="F54" s="14">
        <x:f>F21+F22+F26</x:f>
      </x:c>
      <x:c r="G54" s="14">
        <x:f>G21+G22+G26</x:f>
      </x:c>
      <x:c r="H54" s="14">
        <x:f>H21+H22+H26</x:f>
      </x:c>
      <x:c r="I54" s="13"/>
    </x:row>
    <x:row r="55" spans="1:20">
      <x:c r="B55" s="12" t="s">
        <x:v>182</x:v>
      </x:c>
      <x:c r="C55" s="12"/>
      <x:c r="D55" s="12"/>
      <x:c r="E55" s="12"/>
      <x:c r="F55" s="14">
        <x:f>F20</x:f>
      </x:c>
      <x:c r="G55" s="14">
        <x:f>G20</x:f>
      </x:c>
      <x:c r="H55" s="14">
        <x:f>H20</x:f>
      </x:c>
      <x:c r="I55" s="13"/>
    </x:row>
    <x:row r="56" spans="1:20">
      <x:c r="B56" s="11" t="s">
        <x:v>183</x:v>
      </x:c>
      <x:c r="C56" s="12"/>
      <x:c r="D56" s="12"/>
      <x:c r="E56" s="12"/>
      <x:c r="F56" s="12"/>
      <x:c r="G56" s="12"/>
      <x:c r="H56" s="12">
        <x:f>SUM(H57:H58)</x:f>
      </x:c>
      <x:c r="I56" s="13"/>
    </x:row>
    <x:row r="57" spans="1:20">
      <x:c r="B57" s="12" t="s">
        <x:v>184</x:v>
      </x:c>
      <x:c r="C57" s="12"/>
      <x:c r="D57" s="12"/>
      <x:c r="E57" s="12"/>
      <x:c r="F57" s="14"/>
      <x:c r="G57" s="14"/>
      <x:c r="H57" s="14"/>
      <x:c r="I57" s="13"/>
    </x:row>
    <x:row r="58" spans="1:20">
      <x:c r="B58" s="12" t="s">
        <x:v>185</x:v>
      </x:c>
      <x:c r="C58" s="12"/>
      <x:c r="D58" s="12"/>
      <x:c r="E58" s="12"/>
      <x:c r="F58" s="14"/>
      <x:c r="G58" s="14"/>
      <x:c r="H58" s="14"/>
      <x:c r="I58" s="15"/>
    </x:row>
    <x:row r="59" spans="1:20">
      <x:c r="B59" s="16"/>
      <x:c r="C59" s="16"/>
      <x:c r="D59" s="16"/>
      <x:c r="E59" s="16"/>
      <x:c r="F59" s="16"/>
      <x:c r="G59" s="16"/>
      <x:c r="H59" s="16">
        <x:f>H37+H41+H49+H56</x:f>
      </x:c>
      <x:c r="I59" s="15"/>
    </x:row>
    <x:row r="60" spans="1:20">
      <x:c r="H60" s="17">
        <x:f>H59 - H35</x:f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9A7E65E-6E1C-2D45-AC0A-3C558D450C22}" mc:Ignorable="x14ac xr xr2 xr3">
  <x:sheetPr>
    <x:outlinePr summaryBelow="1" summaryRight="1"/>
  </x:sheetPr>
  <x:dimension ref="A1:T70"/>
  <x:sheetViews>
    <x:sheetView topLeftCell="A33" zoomScale="80" zoomScaleNormal="80" workbookViewId="0">
      <x:selection activeCell="A45" sqref="A45"/>
    </x:sheetView>
  </x:sheetViews>
  <x:sheetFormatPr defaultColWidth="11.210625" defaultRowHeight="15.75"/>
  <x:cols>
    <x:col min="1" max="1" width="11.210625" style="0" customWidth="1"/>
    <x:col min="2" max="2" width="35.125" style="0" customWidth="1"/>
    <x:col min="3" max="3" width="3.125" style="0" customWidth="1"/>
    <x:col min="4" max="4" width="1.875" style="0" customWidth="1"/>
    <x:col min="5" max="5" width="2.125" style="0" customWidth="1"/>
  </x:cols>
  <x:sheetData>
    <x:row r="1" spans="1:2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</x:row>
    <x:row r="2" spans="1:20">
      <x:c r="A2" s="0">
        <x:v>1</x:v>
      </x:c>
      <x:c r="B2" s="0" t="s">
        <x:v>61</x:v>
      </x:c>
      <x:c r="C2" s="0" t="s">
        <x:v>21</x:v>
      </x:c>
      <x:c r="D2" s="0" t="s">
        <x:v>22</x:v>
      </x:c>
      <x:c r="E2" s="0">
        <x:v>1</x:v>
      </x:c>
      <x:c r="F2" s="0">
        <x:v>2</x:v>
      </x:c>
      <x:c r="G2" s="8">
        <x:v>190.38</x:v>
      </x:c>
      <x:c r="H2" s="8">
        <x:v>380.76</x:v>
      </x:c>
      <x:c r="I2" s="0" t="s">
        <x:v>23</x:v>
      </x:c>
      <x:c r="K2" s="8">
        <x:v>380.76</x:v>
      </x:c>
      <x:c r="L2" s="0" t="s">
        <x:v>24</x:v>
      </x:c>
      <x:c r="M2" s="0" t="s">
        <x:v>25</x:v>
      </x:c>
      <x:c r="N2" s="0" t="s">
        <x:v>26</x:v>
      </x:c>
      <x:c r="P2" s="0" t="s">
        <x:v>27</x:v>
      </x:c>
    </x:row>
    <x:row r="3" spans="1:20">
      <x:c r="A3" s="0">
        <x:v>2</x:v>
      </x:c>
      <x:c r="B3" s="0" t="s">
        <x:v>20</x:v>
      </x:c>
      <x:c r="C3" s="0" t="s">
        <x:v>21</x:v>
      </x:c>
      <x:c r="D3" s="0" t="s">
        <x:v>22</x:v>
      </x:c>
      <x:c r="E3" s="0">
        <x:v>1</x:v>
      </x:c>
      <x:c r="F3" s="0">
        <x:v>5</x:v>
      </x:c>
      <x:c r="G3" s="8">
        <x:v>135.1</x:v>
      </x:c>
      <x:c r="H3" s="8">
        <x:v>675.5</x:v>
      </x:c>
      <x:c r="I3" s="0" t="s">
        <x:v>23</x:v>
      </x:c>
      <x:c r="K3" s="8">
        <x:v>675.5</x:v>
      </x:c>
      <x:c r="L3" s="0" t="s">
        <x:v>24</x:v>
      </x:c>
      <x:c r="M3" s="0" t="s">
        <x:v>25</x:v>
      </x:c>
      <x:c r="N3" s="0" t="s">
        <x:v>26</x:v>
      </x:c>
      <x:c r="P3" s="0" t="s">
        <x:v>27</x:v>
      </x:c>
    </x:row>
    <x:row r="4" spans="1:20">
      <x:c r="A4" s="0">
        <x:v>3</x:v>
      </x:c>
      <x:c r="B4" s="0" t="s">
        <x:v>28</x:v>
      </x:c>
      <x:c r="C4" s="0" t="s">
        <x:v>21</x:v>
      </x:c>
      <x:c r="D4" s="0" t="s">
        <x:v>22</x:v>
      </x:c>
      <x:c r="E4" s="0">
        <x:v>1</x:v>
      </x:c>
      <x:c r="F4" s="0">
        <x:v>1</x:v>
      </x:c>
      <x:c r="G4" s="8">
        <x:v>212.5</x:v>
      </x:c>
      <x:c r="H4" s="8">
        <x:v>212.5</x:v>
      </x:c>
      <x:c r="I4" s="0" t="s">
        <x:v>23</x:v>
      </x:c>
      <x:c r="K4" s="8">
        <x:v>212.5</x:v>
      </x:c>
      <x:c r="L4" s="0" t="s">
        <x:v>24</x:v>
      </x:c>
      <x:c r="M4" s="0" t="s">
        <x:v>25</x:v>
      </x:c>
      <x:c r="N4" s="0" t="s">
        <x:v>26</x:v>
      </x:c>
      <x:c r="P4" s="0" t="s">
        <x:v>27</x:v>
      </x:c>
    </x:row>
    <x:row r="5" spans="1:20">
      <x:c r="A5" s="0">
        <x:v>4</x:v>
      </x:c>
      <x:c r="B5" s="0" t="s">
        <x:v>74</x:v>
      </x:c>
      <x:c r="C5" s="0" t="s">
        <x:v>21</x:v>
      </x:c>
      <x:c r="D5" s="0" t="s">
        <x:v>22</x:v>
      </x:c>
      <x:c r="E5" s="0">
        <x:v>1</x:v>
      </x:c>
      <x:c r="F5" s="0">
        <x:v>1</x:v>
      </x:c>
      <x:c r="G5" s="8">
        <x:v>212.5</x:v>
      </x:c>
      <x:c r="H5" s="8">
        <x:v>212.5</x:v>
      </x:c>
      <x:c r="I5" s="0" t="s">
        <x:v>23</x:v>
      </x:c>
      <x:c r="K5" s="8">
        <x:v>212.5</x:v>
      </x:c>
      <x:c r="L5" s="0" t="s">
        <x:v>24</x:v>
      </x:c>
      <x:c r="M5" s="0" t="s">
        <x:v>25</x:v>
      </x:c>
      <x:c r="N5" s="0" t="s">
        <x:v>26</x:v>
      </x:c>
      <x:c r="P5" s="0" t="s">
        <x:v>27</x:v>
      </x:c>
    </x:row>
    <x:row r="6" spans="1:20">
      <x:c r="A6" s="0">
        <x:v>5</x:v>
      </x:c>
      <x:c r="B6" s="0" t="s">
        <x:v>75</x:v>
      </x:c>
      <x:c r="C6" s="0" t="s">
        <x:v>21</x:v>
      </x:c>
      <x:c r="D6" s="0" t="s">
        <x:v>22</x:v>
      </x:c>
      <x:c r="E6" s="0">
        <x:v>1</x:v>
      </x:c>
      <x:c r="F6" s="0">
        <x:v>2</x:v>
      </x:c>
      <x:c r="G6" s="8">
        <x:v>45</x:v>
      </x:c>
      <x:c r="H6" s="8">
        <x:v>90</x:v>
      </x:c>
      <x:c r="I6" s="0" t="s">
        <x:v>23</x:v>
      </x:c>
      <x:c r="K6" s="8">
        <x:v>90</x:v>
      </x:c>
      <x:c r="L6" s="0" t="s">
        <x:v>24</x:v>
      </x:c>
      <x:c r="M6" s="0" t="s">
        <x:v>25</x:v>
      </x:c>
      <x:c r="N6" s="0" t="s">
        <x:v>26</x:v>
      </x:c>
      <x:c r="P6" s="0" t="s">
        <x:v>27</x:v>
      </x:c>
    </x:row>
    <x:row r="7" spans="1:20">
      <x:c r="A7" s="0">
        <x:v>6</x:v>
      </x:c>
      <x:c r="B7" s="0" t="s">
        <x:v>29</x:v>
      </x:c>
      <x:c r="C7" s="0" t="s">
        <x:v>21</x:v>
      </x:c>
      <x:c r="D7" s="0" t="s">
        <x:v>22</x:v>
      </x:c>
      <x:c r="E7" s="0">
        <x:v>1</x:v>
      </x:c>
      <x:c r="F7" s="0">
        <x:v>2</x:v>
      </x:c>
      <x:c r="G7" s="8">
        <x:v>250</x:v>
      </x:c>
      <x:c r="H7" s="8">
        <x:v>500</x:v>
      </x:c>
      <x:c r="I7" s="0" t="s">
        <x:v>23</x:v>
      </x:c>
      <x:c r="K7" s="8">
        <x:v>500</x:v>
      </x:c>
      <x:c r="L7" s="0" t="s">
        <x:v>24</x:v>
      </x:c>
      <x:c r="M7" s="0" t="s">
        <x:v>25</x:v>
      </x:c>
      <x:c r="N7" s="0" t="s">
        <x:v>26</x:v>
      </x:c>
      <x:c r="P7" s="0" t="s">
        <x:v>27</x:v>
      </x:c>
    </x:row>
    <x:row r="8" spans="1:20">
      <x:c r="A8" s="0">
        <x:v>7</x:v>
      </x:c>
      <x:c r="B8" s="0" t="s">
        <x:v>30</x:v>
      </x:c>
      <x:c r="C8" s="0" t="s">
        <x:v>21</x:v>
      </x:c>
      <x:c r="D8" s="0" t="s">
        <x:v>22</x:v>
      </x:c>
      <x:c r="E8" s="0">
        <x:v>1</x:v>
      </x:c>
      <x:c r="F8" s="0">
        <x:v>11</x:v>
      </x:c>
      <x:c r="G8" s="8">
        <x:v>314.42</x:v>
      </x:c>
      <x:c r="H8" s="8">
        <x:v>3458.66</x:v>
      </x:c>
      <x:c r="I8" s="0" t="s">
        <x:v>23</x:v>
      </x:c>
      <x:c r="K8" s="8">
        <x:v>3458.66</x:v>
      </x:c>
      <x:c r="L8" s="0" t="s">
        <x:v>24</x:v>
      </x:c>
      <x:c r="M8" s="0" t="s">
        <x:v>25</x:v>
      </x:c>
      <x:c r="N8" s="0" t="s">
        <x:v>26</x:v>
      </x:c>
      <x:c r="P8" s="0" t="s">
        <x:v>27</x:v>
      </x:c>
    </x:row>
    <x:row r="9" spans="1:20">
      <x:c r="A9" s="0">
        <x:v>8</x:v>
      </x:c>
      <x:c r="B9" s="0" t="s">
        <x:v>31</x:v>
      </x:c>
      <x:c r="C9" s="0" t="s">
        <x:v>21</x:v>
      </x:c>
      <x:c r="D9" s="0" t="s">
        <x:v>22</x:v>
      </x:c>
      <x:c r="E9" s="0">
        <x:v>1</x:v>
      </x:c>
      <x:c r="F9" s="0">
        <x:v>1</x:v>
      </x:c>
      <x:c r="G9" s="8">
        <x:v>58.07</x:v>
      </x:c>
      <x:c r="H9" s="8">
        <x:v>58.07</x:v>
      </x:c>
      <x:c r="I9" s="0" t="s">
        <x:v>23</x:v>
      </x:c>
      <x:c r="K9" s="8">
        <x:v>58.07</x:v>
      </x:c>
      <x:c r="L9" s="0" t="s">
        <x:v>24</x:v>
      </x:c>
      <x:c r="M9" s="0" t="s">
        <x:v>25</x:v>
      </x:c>
      <x:c r="N9" s="0" t="s">
        <x:v>26</x:v>
      </x:c>
      <x:c r="P9" s="0" t="s">
        <x:v>27</x:v>
      </x:c>
    </x:row>
    <x:row r="10" spans="1:20">
      <x:c r="A10" s="0">
        <x:v>9</x:v>
      </x:c>
      <x:c r="B10" s="0" t="s">
        <x:v>32</x:v>
      </x:c>
      <x:c r="C10" s="0" t="s">
        <x:v>21</x:v>
      </x:c>
      <x:c r="D10" s="0" t="s">
        <x:v>22</x:v>
      </x:c>
      <x:c r="E10" s="0">
        <x:v>1</x:v>
      </x:c>
      <x:c r="F10" s="0">
        <x:v>5</x:v>
      </x:c>
      <x:c r="G10" s="8">
        <x:v>80</x:v>
      </x:c>
      <x:c r="H10" s="8">
        <x:v>400</x:v>
      </x:c>
      <x:c r="I10" s="0" t="s">
        <x:v>23</x:v>
      </x:c>
      <x:c r="K10" s="8">
        <x:v>400</x:v>
      </x:c>
      <x:c r="L10" s="0" t="s">
        <x:v>24</x:v>
      </x:c>
      <x:c r="M10" s="0" t="s">
        <x:v>25</x:v>
      </x:c>
      <x:c r="N10" s="0" t="s">
        <x:v>26</x:v>
      </x:c>
      <x:c r="P10" s="0" t="s">
        <x:v>27</x:v>
      </x:c>
    </x:row>
    <x:row r="11" spans="1:20">
      <x:c r="A11" s="0">
        <x:v>10</x:v>
      </x:c>
      <x:c r="B11" s="0" t="s">
        <x:v>76</x:v>
      </x:c>
      <x:c r="C11" s="0" t="s">
        <x:v>21</x:v>
      </x:c>
      <x:c r="D11" s="0" t="s">
        <x:v>34</x:v>
      </x:c>
      <x:c r="E11" s="0">
        <x:v>1</x:v>
      </x:c>
      <x:c r="F11" s="0">
        <x:v>0.3</x:v>
      </x:c>
      <x:c r="G11" s="8">
        <x:v>3180</x:v>
      </x:c>
      <x:c r="H11" s="8">
        <x:v>954</x:v>
      </x:c>
      <x:c r="I11" s="0" t="s">
        <x:v>23</x:v>
      </x:c>
      <x:c r="K11" s="8">
        <x:v>954</x:v>
      </x:c>
      <x:c r="L11" s="0" t="s">
        <x:v>24</x:v>
      </x:c>
      <x:c r="M11" s="0" t="s">
        <x:v>25</x:v>
      </x:c>
      <x:c r="N11" s="0" t="s">
        <x:v>26</x:v>
      </x:c>
      <x:c r="P11" s="0" t="s">
        <x:v>27</x:v>
      </x:c>
    </x:row>
    <x:row r="12" spans="1:20">
      <x:c r="A12" s="0">
        <x:v>11</x:v>
      </x:c>
      <x:c r="B12" s="0" t="s">
        <x:v>62</x:v>
      </x:c>
      <x:c r="C12" s="0" t="s">
        <x:v>21</x:v>
      </x:c>
      <x:c r="D12" s="0" t="s">
        <x:v>34</x:v>
      </x:c>
      <x:c r="E12" s="0">
        <x:v>1</x:v>
      </x:c>
      <x:c r="F12" s="0">
        <x:v>0.1</x:v>
      </x:c>
      <x:c r="G12" s="8">
        <x:v>3180</x:v>
      </x:c>
      <x:c r="H12" s="8">
        <x:v>318</x:v>
      </x:c>
      <x:c r="I12" s="0" t="s">
        <x:v>23</x:v>
      </x:c>
      <x:c r="K12" s="8">
        <x:v>318</x:v>
      </x:c>
      <x:c r="L12" s="0" t="s">
        <x:v>24</x:v>
      </x:c>
      <x:c r="M12" s="0" t="s">
        <x:v>25</x:v>
      </x:c>
      <x:c r="N12" s="0" t="s">
        <x:v>26</x:v>
      </x:c>
      <x:c r="P12" s="0" t="s">
        <x:v>27</x:v>
      </x:c>
    </x:row>
    <x:row r="13" spans="1:20">
      <x:c r="A13" s="0">
        <x:v>12</x:v>
      </x:c>
      <x:c r="B13" s="0" t="s">
        <x:v>77</x:v>
      </x:c>
      <x:c r="C13" s="0" t="s">
        <x:v>21</x:v>
      </x:c>
      <x:c r="D13" s="0" t="s">
        <x:v>34</x:v>
      </x:c>
      <x:c r="E13" s="0">
        <x:v>1</x:v>
      </x:c>
      <x:c r="F13" s="0">
        <x:v>0.11</x:v>
      </x:c>
      <x:c r="G13" s="8">
        <x:v>3880</x:v>
      </x:c>
      <x:c r="H13" s="8">
        <x:v>426.8</x:v>
      </x:c>
      <x:c r="I13" s="0" t="s">
        <x:v>23</x:v>
      </x:c>
      <x:c r="K13" s="8">
        <x:v>426.8</x:v>
      </x:c>
      <x:c r="L13" s="0" t="s">
        <x:v>24</x:v>
      </x:c>
      <x:c r="M13" s="0" t="s">
        <x:v>25</x:v>
      </x:c>
      <x:c r="N13" s="0" t="s">
        <x:v>26</x:v>
      </x:c>
      <x:c r="P13" s="0" t="s">
        <x:v>27</x:v>
      </x:c>
    </x:row>
    <x:row r="14" spans="1:20">
      <x:c r="A14" s="0">
        <x:v>13</x:v>
      </x:c>
      <x:c r="B14" s="0" t="s">
        <x:v>78</x:v>
      </x:c>
      <x:c r="C14" s="0" t="s">
        <x:v>21</x:v>
      </x:c>
      <x:c r="D14" s="0" t="s">
        <x:v>34</x:v>
      </x:c>
      <x:c r="E14" s="0">
        <x:v>1</x:v>
      </x:c>
      <x:c r="F14" s="0">
        <x:v>0.06</x:v>
      </x:c>
      <x:c r="G14" s="8">
        <x:v>2873</x:v>
      </x:c>
      <x:c r="H14" s="8">
        <x:v>172.38</x:v>
      </x:c>
      <x:c r="I14" s="0" t="s">
        <x:v>23</x:v>
      </x:c>
      <x:c r="K14" s="8">
        <x:v>172.38</x:v>
      </x:c>
      <x:c r="L14" s="0" t="s">
        <x:v>24</x:v>
      </x:c>
      <x:c r="M14" s="0" t="s">
        <x:v>25</x:v>
      </x:c>
      <x:c r="N14" s="0" t="s">
        <x:v>26</x:v>
      </x:c>
      <x:c r="P14" s="0" t="s">
        <x:v>27</x:v>
      </x:c>
    </x:row>
    <x:row r="15" spans="1:20">
      <x:c r="A15" s="0">
        <x:v>14</x:v>
      </x:c>
      <x:c r="B15" s="0" t="s">
        <x:v>79</x:v>
      </x:c>
      <x:c r="C15" s="0" t="s">
        <x:v>21</x:v>
      </x:c>
      <x:c r="D15" s="0" t="s">
        <x:v>34</x:v>
      </x:c>
      <x:c r="E15" s="0">
        <x:v>1</x:v>
      </x:c>
      <x:c r="F15" s="0">
        <x:v>0.1</x:v>
      </x:c>
      <x:c r="G15" s="8">
        <x:v>2180</x:v>
      </x:c>
      <x:c r="H15" s="8">
        <x:v>218</x:v>
      </x:c>
      <x:c r="I15" s="0" t="s">
        <x:v>23</x:v>
      </x:c>
      <x:c r="K15" s="8">
        <x:v>218</x:v>
      </x:c>
      <x:c r="L15" s="0" t="s">
        <x:v>24</x:v>
      </x:c>
      <x:c r="M15" s="0" t="s">
        <x:v>25</x:v>
      </x:c>
      <x:c r="N15" s="0" t="s">
        <x:v>26</x:v>
      </x:c>
      <x:c r="P15" s="0" t="s">
        <x:v>27</x:v>
      </x:c>
    </x:row>
    <x:row r="16" spans="1:20">
      <x:c r="A16" s="0">
        <x:v>15</x:v>
      </x:c>
      <x:c r="B16" s="0" t="s">
        <x:v>80</x:v>
      </x:c>
      <x:c r="C16" s="0" t="s">
        <x:v>21</x:v>
      </x:c>
      <x:c r="D16" s="0" t="s">
        <x:v>34</x:v>
      </x:c>
      <x:c r="E16" s="0">
        <x:v>1</x:v>
      </x:c>
      <x:c r="F16" s="0">
        <x:v>0.276</x:v>
      </x:c>
      <x:c r="G16" s="8">
        <x:v>3380</x:v>
      </x:c>
      <x:c r="H16" s="8">
        <x:v>932.88</x:v>
      </x:c>
      <x:c r="I16" s="0" t="s">
        <x:v>23</x:v>
      </x:c>
      <x:c r="K16" s="8">
        <x:v>932.88</x:v>
      </x:c>
      <x:c r="L16" s="0" t="s">
        <x:v>24</x:v>
      </x:c>
      <x:c r="M16" s="0" t="s">
        <x:v>25</x:v>
      </x:c>
      <x:c r="N16" s="0" t="s">
        <x:v>26</x:v>
      </x:c>
      <x:c r="P16" s="0" t="s">
        <x:v>27</x:v>
      </x:c>
    </x:row>
    <x:row r="17" spans="1:20">
      <x:c r="A17" s="0">
        <x:v>16</x:v>
      </x:c>
      <x:c r="B17" s="0" t="s">
        <x:v>81</x:v>
      </x:c>
      <x:c r="C17" s="0" t="s">
        <x:v>21</x:v>
      </x:c>
      <x:c r="D17" s="0" t="s">
        <x:v>34</x:v>
      </x:c>
      <x:c r="E17" s="0">
        <x:v>1</x:v>
      </x:c>
      <x:c r="F17" s="0">
        <x:v>0.1</x:v>
      </x:c>
      <x:c r="G17" s="8">
        <x:v>3880</x:v>
      </x:c>
      <x:c r="H17" s="8">
        <x:v>388</x:v>
      </x:c>
      <x:c r="I17" s="0" t="s">
        <x:v>23</x:v>
      </x:c>
      <x:c r="K17" s="8">
        <x:v>388</x:v>
      </x:c>
      <x:c r="L17" s="0" t="s">
        <x:v>24</x:v>
      </x:c>
      <x:c r="M17" s="0" t="s">
        <x:v>25</x:v>
      </x:c>
      <x:c r="N17" s="0" t="s">
        <x:v>26</x:v>
      </x:c>
      <x:c r="P17" s="0" t="s">
        <x:v>27</x:v>
      </x:c>
    </x:row>
    <x:row r="18" spans="1:20">
      <x:c r="A18" s="0">
        <x:v>17</x:v>
      </x:c>
      <x:c r="B18" s="0" t="s">
        <x:v>82</x:v>
      </x:c>
      <x:c r="C18" s="0" t="s">
        <x:v>21</x:v>
      </x:c>
      <x:c r="D18" s="0" t="s">
        <x:v>34</x:v>
      </x:c>
      <x:c r="E18" s="0">
        <x:v>1</x:v>
      </x:c>
      <x:c r="F18" s="0">
        <x:v>0.1</x:v>
      </x:c>
      <x:c r="G18" s="8">
        <x:v>4980</x:v>
      </x:c>
      <x:c r="H18" s="8">
        <x:v>498</x:v>
      </x:c>
      <x:c r="I18" s="0" t="s">
        <x:v>23</x:v>
      </x:c>
      <x:c r="K18" s="8">
        <x:v>498</x:v>
      </x:c>
      <x:c r="L18" s="0" t="s">
        <x:v>24</x:v>
      </x:c>
      <x:c r="M18" s="0" t="s">
        <x:v>25</x:v>
      </x:c>
      <x:c r="N18" s="0" t="s">
        <x:v>26</x:v>
      </x:c>
      <x:c r="P18" s="0" t="s">
        <x:v>27</x:v>
      </x:c>
    </x:row>
    <x:row r="19" spans="1:20">
      <x:c r="A19" s="0">
        <x:v>18</x:v>
      </x:c>
      <x:c r="B19" s="0" t="s">
        <x:v>83</x:v>
      </x:c>
      <x:c r="C19" s="0" t="s">
        <x:v>21</x:v>
      </x:c>
      <x:c r="D19" s="0" t="s">
        <x:v>34</x:v>
      </x:c>
      <x:c r="E19" s="0">
        <x:v>1</x:v>
      </x:c>
      <x:c r="F19" s="0">
        <x:v>0.1</x:v>
      </x:c>
      <x:c r="G19" s="8">
        <x:v>2080</x:v>
      </x:c>
      <x:c r="H19" s="8">
        <x:v>208</x:v>
      </x:c>
      <x:c r="I19" s="0" t="s">
        <x:v>23</x:v>
      </x:c>
      <x:c r="K19" s="8">
        <x:v>208</x:v>
      </x:c>
      <x:c r="L19" s="0" t="s">
        <x:v>24</x:v>
      </x:c>
      <x:c r="M19" s="0" t="s">
        <x:v>25</x:v>
      </x:c>
      <x:c r="N19" s="0" t="s">
        <x:v>26</x:v>
      </x:c>
      <x:c r="P19" s="0" t="s">
        <x:v>27</x:v>
      </x:c>
    </x:row>
    <x:row r="20" spans="1:20">
      <x:c r="A20" s="0">
        <x:v>19</x:v>
      </x:c>
      <x:c r="B20" s="0" t="s">
        <x:v>70</x:v>
      </x:c>
      <x:c r="C20" s="0" t="s">
        <x:v>21</x:v>
      </x:c>
      <x:c r="D20" s="0" t="s">
        <x:v>22</x:v>
      </x:c>
      <x:c r="E20" s="0">
        <x:v>1</x:v>
      </x:c>
      <x:c r="F20" s="0">
        <x:v>1</x:v>
      </x:c>
      <x:c r="G20" s="8">
        <x:v>212.1</x:v>
      </x:c>
      <x:c r="H20" s="8">
        <x:v>212.1</x:v>
      </x:c>
      <x:c r="I20" s="0" t="s">
        <x:v>23</x:v>
      </x:c>
      <x:c r="K20" s="8">
        <x:v>212.1</x:v>
      </x:c>
      <x:c r="L20" s="0" t="s">
        <x:v>24</x:v>
      </x:c>
      <x:c r="M20" s="0" t="s">
        <x:v>25</x:v>
      </x:c>
      <x:c r="N20" s="0" t="s">
        <x:v>26</x:v>
      </x:c>
      <x:c r="P20" s="0" t="s">
        <x:v>27</x:v>
      </x:c>
    </x:row>
    <x:row r="21" spans="1:20">
      <x:c r="A21" s="0">
        <x:v>20</x:v>
      </x:c>
      <x:c r="B21" s="0" t="s">
        <x:v>84</x:v>
      </x:c>
      <x:c r="C21" s="0" t="s">
        <x:v>21</x:v>
      </x:c>
      <x:c r="D21" s="0" t="s">
        <x:v>22</x:v>
      </x:c>
      <x:c r="E21" s="0">
        <x:v>1</x:v>
      </x:c>
      <x:c r="F21" s="0">
        <x:v>1</x:v>
      </x:c>
      <x:c r="G21" s="8">
        <x:v>1000</x:v>
      </x:c>
      <x:c r="H21" s="8">
        <x:v>1000</x:v>
      </x:c>
      <x:c r="I21" s="0" t="s">
        <x:v>23</x:v>
      </x:c>
      <x:c r="K21" s="8">
        <x:v>1000</x:v>
      </x:c>
      <x:c r="L21" s="0" t="s">
        <x:v>24</x:v>
      </x:c>
      <x:c r="M21" s="0" t="s">
        <x:v>25</x:v>
      </x:c>
      <x:c r="N21" s="0" t="s">
        <x:v>26</x:v>
      </x:c>
      <x:c r="P21" s="0" t="s">
        <x:v>27</x:v>
      </x:c>
    </x:row>
    <x:row r="22" spans="1:20">
      <x:c r="A22" s="0">
        <x:v>21</x:v>
      </x:c>
      <x:c r="B22" s="0" t="s">
        <x:v>39</x:v>
      </x:c>
      <x:c r="C22" s="0" t="s">
        <x:v>21</x:v>
      </x:c>
      <x:c r="D22" s="0" t="s">
        <x:v>22</x:v>
      </x:c>
      <x:c r="E22" s="0">
        <x:v>1</x:v>
      </x:c>
      <x:c r="F22" s="0">
        <x:v>6</x:v>
      </x:c>
      <x:c r="G22" s="8">
        <x:v>250</x:v>
      </x:c>
      <x:c r="H22" s="8">
        <x:v>1500</x:v>
      </x:c>
      <x:c r="I22" s="0" t="s">
        <x:v>23</x:v>
      </x:c>
      <x:c r="K22" s="8">
        <x:v>1500</x:v>
      </x:c>
      <x:c r="L22" s="0" t="s">
        <x:v>24</x:v>
      </x:c>
      <x:c r="M22" s="0" t="s">
        <x:v>25</x:v>
      </x:c>
      <x:c r="N22" s="0" t="s">
        <x:v>26</x:v>
      </x:c>
      <x:c r="P22" s="0" t="s">
        <x:v>27</x:v>
      </x:c>
    </x:row>
    <x:row r="23" spans="1:20">
      <x:c r="A23" s="0">
        <x:v>22</x:v>
      </x:c>
      <x:c r="B23" s="0" t="s">
        <x:v>41</x:v>
      </x:c>
      <x:c r="C23" s="0" t="s">
        <x:v>21</x:v>
      </x:c>
      <x:c r="D23" s="0" t="s">
        <x:v>22</x:v>
      </x:c>
      <x:c r="E23" s="0">
        <x:v>1</x:v>
      </x:c>
      <x:c r="F23" s="0">
        <x:v>1</x:v>
      </x:c>
      <x:c r="G23" s="8">
        <x:v>300</x:v>
      </x:c>
      <x:c r="H23" s="8">
        <x:v>300</x:v>
      </x:c>
      <x:c r="I23" s="0" t="s">
        <x:v>23</x:v>
      </x:c>
      <x:c r="K23" s="8">
        <x:v>300</x:v>
      </x:c>
      <x:c r="L23" s="0" t="s">
        <x:v>24</x:v>
      </x:c>
      <x:c r="M23" s="0" t="s">
        <x:v>25</x:v>
      </x:c>
      <x:c r="N23" s="0" t="s">
        <x:v>26</x:v>
      </x:c>
      <x:c r="P23" s="0" t="s">
        <x:v>27</x:v>
      </x:c>
    </x:row>
    <x:row r="24" spans="1:20">
      <x:c r="A24" s="0">
        <x:v>23</x:v>
      </x:c>
      <x:c r="B24" s="0" t="s">
        <x:v>44</x:v>
      </x:c>
      <x:c r="C24" s="0" t="s">
        <x:v>21</x:v>
      </x:c>
      <x:c r="D24" s="0" t="s">
        <x:v>22</x:v>
      </x:c>
      <x:c r="E24" s="0">
        <x:v>1</x:v>
      </x:c>
      <x:c r="F24" s="0">
        <x:v>3</x:v>
      </x:c>
      <x:c r="G24" s="8">
        <x:v>84.9</x:v>
      </x:c>
      <x:c r="H24" s="8">
        <x:v>254.7</x:v>
      </x:c>
      <x:c r="I24" s="0" t="s">
        <x:v>23</x:v>
      </x:c>
      <x:c r="K24" s="8">
        <x:v>254.7</x:v>
      </x:c>
      <x:c r="L24" s="0" t="s">
        <x:v>24</x:v>
      </x:c>
      <x:c r="M24" s="0" t="s">
        <x:v>25</x:v>
      </x:c>
      <x:c r="N24" s="0" t="s">
        <x:v>26</x:v>
      </x:c>
      <x:c r="P24" s="0" t="s">
        <x:v>27</x:v>
      </x:c>
    </x:row>
    <x:row r="25" spans="1:20">
      <x:c r="A25" s="0">
        <x:v>24</x:v>
      </x:c>
      <x:c r="B25" s="0" t="s">
        <x:v>45</x:v>
      </x:c>
      <x:c r="C25" s="0" t="s">
        <x:v>21</x:v>
      </x:c>
      <x:c r="D25" s="0" t="s">
        <x:v>22</x:v>
      </x:c>
      <x:c r="E25" s="0">
        <x:v>1</x:v>
      </x:c>
      <x:c r="F25" s="0">
        <x:v>1</x:v>
      </x:c>
      <x:c r="G25" s="8">
        <x:v>88</x:v>
      </x:c>
      <x:c r="H25" s="8">
        <x:v>88</x:v>
      </x:c>
      <x:c r="I25" s="0" t="s">
        <x:v>23</x:v>
      </x:c>
      <x:c r="K25" s="8">
        <x:v>88</x:v>
      </x:c>
      <x:c r="L25" s="0" t="s">
        <x:v>24</x:v>
      </x:c>
      <x:c r="M25" s="0" t="s">
        <x:v>25</x:v>
      </x:c>
      <x:c r="N25" s="0" t="s">
        <x:v>26</x:v>
      </x:c>
      <x:c r="P25" s="0" t="s">
        <x:v>27</x:v>
      </x:c>
    </x:row>
    <x:row r="26" spans="1:20">
      <x:c r="A26" s="0">
        <x:v>25</x:v>
      </x:c>
      <x:c r="B26" s="0" t="s">
        <x:v>46</x:v>
      </x:c>
      <x:c r="C26" s="0" t="s">
        <x:v>21</x:v>
      </x:c>
      <x:c r="D26" s="0" t="s">
        <x:v>22</x:v>
      </x:c>
      <x:c r="E26" s="0">
        <x:v>1</x:v>
      </x:c>
      <x:c r="F26" s="0">
        <x:v>6</x:v>
      </x:c>
      <x:c r="G26" s="8">
        <x:v>180</x:v>
      </x:c>
      <x:c r="H26" s="8">
        <x:v>1080</x:v>
      </x:c>
      <x:c r="I26" s="0" t="s">
        <x:v>23</x:v>
      </x:c>
      <x:c r="K26" s="8">
        <x:v>1080</x:v>
      </x:c>
      <x:c r="L26" s="0" t="s">
        <x:v>24</x:v>
      </x:c>
      <x:c r="M26" s="0" t="s">
        <x:v>25</x:v>
      </x:c>
      <x:c r="N26" s="0" t="s">
        <x:v>26</x:v>
      </x:c>
      <x:c r="P26" s="0" t="s">
        <x:v>27</x:v>
      </x:c>
    </x:row>
    <x:row r="27" spans="1:20">
      <x:c r="A27" s="0">
        <x:v>26</x:v>
      </x:c>
      <x:c r="B27" s="0" t="s">
        <x:v>85</x:v>
      </x:c>
      <x:c r="C27" s="0" t="s">
        <x:v>21</x:v>
      </x:c>
      <x:c r="D27" s="0" t="s">
        <x:v>22</x:v>
      </x:c>
      <x:c r="E27" s="0">
        <x:v>1</x:v>
      </x:c>
      <x:c r="F27" s="0">
        <x:v>1</x:v>
      </x:c>
      <x:c r="G27" s="8">
        <x:v>980</x:v>
      </x:c>
      <x:c r="H27" s="8">
        <x:v>980</x:v>
      </x:c>
      <x:c r="I27" s="0" t="s">
        <x:v>23</x:v>
      </x:c>
      <x:c r="K27" s="8">
        <x:v>980</x:v>
      </x:c>
      <x:c r="L27" s="0" t="s">
        <x:v>24</x:v>
      </x:c>
      <x:c r="M27" s="0" t="s">
        <x:v>25</x:v>
      </x:c>
      <x:c r="N27" s="0" t="s">
        <x:v>26</x:v>
      </x:c>
      <x:c r="P27" s="0" t="s">
        <x:v>27</x:v>
      </x:c>
    </x:row>
    <x:row r="28" spans="1:20">
      <x:c r="A28" s="0">
        <x:v>27</x:v>
      </x:c>
      <x:c r="B28" s="0" t="s">
        <x:v>47</x:v>
      </x:c>
      <x:c r="C28" s="0" t="s">
        <x:v>21</x:v>
      </x:c>
      <x:c r="D28" s="0" t="s">
        <x:v>22</x:v>
      </x:c>
      <x:c r="E28" s="0">
        <x:v>1</x:v>
      </x:c>
      <x:c r="F28" s="0">
        <x:v>4</x:v>
      </x:c>
      <x:c r="G28" s="8">
        <x:v>223.94</x:v>
      </x:c>
      <x:c r="H28" s="8">
        <x:v>895.74</x:v>
      </x:c>
      <x:c r="I28" s="0" t="s">
        <x:v>23</x:v>
      </x:c>
      <x:c r="K28" s="8">
        <x:v>895.74</x:v>
      </x:c>
      <x:c r="L28" s="0" t="s">
        <x:v>24</x:v>
      </x:c>
      <x:c r="M28" s="0" t="s">
        <x:v>25</x:v>
      </x:c>
      <x:c r="N28" s="0" t="s">
        <x:v>26</x:v>
      </x:c>
      <x:c r="P28" s="0" t="s">
        <x:v>27</x:v>
      </x:c>
    </x:row>
    <x:row r="29" spans="1:20">
      <x:c r="A29" s="0">
        <x:v>28</x:v>
      </x:c>
      <x:c r="B29" s="0" t="s">
        <x:v>86</x:v>
      </x:c>
      <x:c r="C29" s="0" t="s">
        <x:v>21</x:v>
      </x:c>
      <x:c r="D29" s="0" t="s">
        <x:v>22</x:v>
      </x:c>
      <x:c r="E29" s="0">
        <x:v>1</x:v>
      </x:c>
      <x:c r="F29" s="0">
        <x:v>1</x:v>
      </x:c>
      <x:c r="G29" s="8">
        <x:v>500</x:v>
      </x:c>
      <x:c r="H29" s="8">
        <x:v>500</x:v>
      </x:c>
      <x:c r="I29" s="0" t="s">
        <x:v>23</x:v>
      </x:c>
      <x:c r="K29" s="8">
        <x:v>500</x:v>
      </x:c>
      <x:c r="L29" s="0" t="s">
        <x:v>24</x:v>
      </x:c>
      <x:c r="M29" s="0" t="s">
        <x:v>25</x:v>
      </x:c>
      <x:c r="N29" s="0" t="s">
        <x:v>26</x:v>
      </x:c>
      <x:c r="P29" s="0" t="s">
        <x:v>27</x:v>
      </x:c>
    </x:row>
    <x:row r="30" spans="1:20">
      <x:c r="A30" s="0">
        <x:v>29</x:v>
      </x:c>
      <x:c r="B30" s="0" t="s">
        <x:v>71</x:v>
      </x:c>
      <x:c r="C30" s="0" t="s">
        <x:v>21</x:v>
      </x:c>
      <x:c r="D30" s="0" t="s">
        <x:v>22</x:v>
      </x:c>
      <x:c r="E30" s="0">
        <x:v>1</x:v>
      </x:c>
      <x:c r="F30" s="0">
        <x:v>5</x:v>
      </x:c>
      <x:c r="G30" s="8">
        <x:v>150</x:v>
      </x:c>
      <x:c r="H30" s="8">
        <x:v>750</x:v>
      </x:c>
      <x:c r="I30" s="0" t="s">
        <x:v>23</x:v>
      </x:c>
      <x:c r="K30" s="8">
        <x:v>750</x:v>
      </x:c>
      <x:c r="L30" s="0" t="s">
        <x:v>24</x:v>
      </x:c>
      <x:c r="M30" s="0" t="s">
        <x:v>25</x:v>
      </x:c>
      <x:c r="N30" s="0" t="s">
        <x:v>26</x:v>
      </x:c>
      <x:c r="P30" s="0" t="s">
        <x:v>27</x:v>
      </x:c>
    </x:row>
    <x:row r="31" spans="1:20">
      <x:c r="A31" s="0">
        <x:v>30</x:v>
      </x:c>
      <x:c r="B31" s="0" t="s">
        <x:v>72</x:v>
      </x:c>
      <x:c r="C31" s="0" t="s">
        <x:v>21</x:v>
      </x:c>
      <x:c r="D31" s="0" t="s">
        <x:v>22</x:v>
      </x:c>
      <x:c r="E31" s="0">
        <x:v>1</x:v>
      </x:c>
      <x:c r="F31" s="0">
        <x:v>2</x:v>
      </x:c>
      <x:c r="G31" s="8">
        <x:v>40</x:v>
      </x:c>
      <x:c r="H31" s="8">
        <x:v>80</x:v>
      </x:c>
      <x:c r="I31" s="0" t="s">
        <x:v>23</x:v>
      </x:c>
      <x:c r="K31" s="8">
        <x:v>80</x:v>
      </x:c>
      <x:c r="L31" s="0" t="s">
        <x:v>24</x:v>
      </x:c>
      <x:c r="M31" s="0" t="s">
        <x:v>25</x:v>
      </x:c>
      <x:c r="N31" s="0" t="s">
        <x:v>26</x:v>
      </x:c>
      <x:c r="P31" s="0" t="s">
        <x:v>27</x:v>
      </x:c>
    </x:row>
    <x:row r="32" spans="1:20">
      <x:c r="A32" s="0">
        <x:v>31</x:v>
      </x:c>
      <x:c r="B32" s="0" t="s">
        <x:v>51</x:v>
      </x:c>
      <x:c r="C32" s="0" t="s">
        <x:v>21</x:v>
      </x:c>
      <x:c r="D32" s="0" t="s">
        <x:v>22</x:v>
      </x:c>
      <x:c r="E32" s="0">
        <x:v>1</x:v>
      </x:c>
      <x:c r="F32" s="0">
        <x:v>4</x:v>
      </x:c>
      <x:c r="G32" s="8">
        <x:v>55.48</x:v>
      </x:c>
      <x:c r="H32" s="8">
        <x:v>221.9</x:v>
      </x:c>
      <x:c r="I32" s="0" t="s">
        <x:v>23</x:v>
      </x:c>
      <x:c r="K32" s="8">
        <x:v>221.9</x:v>
      </x:c>
      <x:c r="L32" s="0" t="s">
        <x:v>24</x:v>
      </x:c>
      <x:c r="M32" s="0" t="s">
        <x:v>25</x:v>
      </x:c>
      <x:c r="N32" s="0" t="s">
        <x:v>26</x:v>
      </x:c>
      <x:c r="P32" s="0" t="s">
        <x:v>27</x:v>
      </x:c>
    </x:row>
    <x:row r="33" spans="1:20">
      <x:c r="A33" s="0">
        <x:v>32</x:v>
      </x:c>
      <x:c r="B33" s="0" t="s">
        <x:v>52</x:v>
      </x:c>
      <x:c r="C33" s="0" t="s">
        <x:v>21</x:v>
      </x:c>
      <x:c r="D33" s="0" t="s">
        <x:v>22</x:v>
      </x:c>
      <x:c r="E33" s="0">
        <x:v>1</x:v>
      </x:c>
      <x:c r="F33" s="0">
        <x:v>3</x:v>
      </x:c>
      <x:c r="G33" s="8">
        <x:v>256.5</x:v>
      </x:c>
      <x:c r="H33" s="8">
        <x:v>769.5</x:v>
      </x:c>
      <x:c r="I33" s="0" t="s">
        <x:v>23</x:v>
      </x:c>
      <x:c r="K33" s="8">
        <x:v>769.5</x:v>
      </x:c>
      <x:c r="L33" s="0" t="s">
        <x:v>24</x:v>
      </x:c>
      <x:c r="M33" s="0" t="s">
        <x:v>25</x:v>
      </x:c>
      <x:c r="N33" s="0" t="s">
        <x:v>26</x:v>
      </x:c>
      <x:c r="P33" s="0" t="s">
        <x:v>27</x:v>
      </x:c>
    </x:row>
    <x:row r="34" spans="1:20">
      <x:c r="A34" s="0">
        <x:v>33</x:v>
      </x:c>
      <x:c r="B34" s="0" t="s">
        <x:v>87</x:v>
      </x:c>
      <x:c r="C34" s="0" t="s">
        <x:v>21</x:v>
      </x:c>
      <x:c r="D34" s="0" t="s">
        <x:v>22</x:v>
      </x:c>
      <x:c r="E34" s="0">
        <x:v>1</x:v>
      </x:c>
      <x:c r="F34" s="0">
        <x:v>1</x:v>
      </x:c>
      <x:c r="G34" s="8">
        <x:v>150</x:v>
      </x:c>
      <x:c r="H34" s="8">
        <x:v>150</x:v>
      </x:c>
      <x:c r="I34" s="0" t="s">
        <x:v>23</x:v>
      </x:c>
      <x:c r="K34" s="8">
        <x:v>150</x:v>
      </x:c>
      <x:c r="L34" s="0" t="s">
        <x:v>24</x:v>
      </x:c>
      <x:c r="M34" s="0" t="s">
        <x:v>25</x:v>
      </x:c>
      <x:c r="N34" s="0" t="s">
        <x:v>26</x:v>
      </x:c>
      <x:c r="P34" s="0" t="s">
        <x:v>27</x:v>
      </x:c>
    </x:row>
    <x:row r="35" spans="1:20">
      <x:c r="A35" s="0">
        <x:v>34</x:v>
      </x:c>
      <x:c r="B35" s="0" t="s">
        <x:v>88</x:v>
      </x:c>
      <x:c r="C35" s="0" t="s">
        <x:v>21</x:v>
      </x:c>
      <x:c r="D35" s="0" t="s">
        <x:v>22</x:v>
      </x:c>
      <x:c r="E35" s="0">
        <x:v>1</x:v>
      </x:c>
      <x:c r="F35" s="0">
        <x:v>1</x:v>
      </x:c>
      <x:c r="G35" s="8">
        <x:v>700</x:v>
      </x:c>
      <x:c r="H35" s="8">
        <x:v>700</x:v>
      </x:c>
      <x:c r="I35" s="0" t="s">
        <x:v>23</x:v>
      </x:c>
      <x:c r="K35" s="8">
        <x:v>700</x:v>
      </x:c>
      <x:c r="L35" s="0" t="s">
        <x:v>24</x:v>
      </x:c>
      <x:c r="M35" s="0" t="s">
        <x:v>25</x:v>
      </x:c>
      <x:c r="N35" s="0" t="s">
        <x:v>26</x:v>
      </x:c>
      <x:c r="P35" s="0" t="s">
        <x:v>27</x:v>
      </x:c>
    </x:row>
    <x:row r="36" spans="1:20">
      <x:c r="A36" s="0">
        <x:v>35</x:v>
      </x:c>
      <x:c r="B36" s="0" t="s">
        <x:v>53</x:v>
      </x:c>
      <x:c r="C36" s="0" t="s">
        <x:v>21</x:v>
      </x:c>
      <x:c r="D36" s="0" t="s">
        <x:v>22</x:v>
      </x:c>
      <x:c r="E36" s="0">
        <x:v>1</x:v>
      </x:c>
      <x:c r="F36" s="0">
        <x:v>4</x:v>
      </x:c>
      <x:c r="G36" s="8">
        <x:v>37</x:v>
      </x:c>
      <x:c r="H36" s="8">
        <x:v>148</x:v>
      </x:c>
      <x:c r="I36" s="0" t="s">
        <x:v>23</x:v>
      </x:c>
      <x:c r="K36" s="8">
        <x:v>148</x:v>
      </x:c>
      <x:c r="L36" s="0" t="s">
        <x:v>24</x:v>
      </x:c>
      <x:c r="M36" s="0" t="s">
        <x:v>25</x:v>
      </x:c>
      <x:c r="N36" s="0" t="s">
        <x:v>26</x:v>
      </x:c>
      <x:c r="P36" s="0" t="s">
        <x:v>27</x:v>
      </x:c>
    </x:row>
    <x:row r="37" spans="1:20">
      <x:c r="A37" s="0">
        <x:v>36</x:v>
      </x:c>
      <x:c r="B37" s="0" t="s">
        <x:v>54</x:v>
      </x:c>
      <x:c r="C37" s="0" t="s">
        <x:v>21</x:v>
      </x:c>
      <x:c r="D37" s="0" t="s">
        <x:v>22</x:v>
      </x:c>
      <x:c r="E37" s="0">
        <x:v>1</x:v>
      </x:c>
      <x:c r="F37" s="0">
        <x:v>4</x:v>
      </x:c>
      <x:c r="G37" s="8">
        <x:v>230</x:v>
      </x:c>
      <x:c r="H37" s="8">
        <x:v>920</x:v>
      </x:c>
      <x:c r="I37" s="0" t="s">
        <x:v>23</x:v>
      </x:c>
      <x:c r="K37" s="8">
        <x:v>920</x:v>
      </x:c>
      <x:c r="L37" s="0" t="s">
        <x:v>24</x:v>
      </x:c>
      <x:c r="M37" s="0" t="s">
        <x:v>25</x:v>
      </x:c>
      <x:c r="N37" s="0" t="s">
        <x:v>26</x:v>
      </x:c>
      <x:c r="P37" s="0" t="s">
        <x:v>27</x:v>
      </x:c>
    </x:row>
    <x:row r="38" spans="1:20">
      <x:c r="A38" s="0">
        <x:v>37</x:v>
      </x:c>
      <x:c r="B38" s="0" t="s">
        <x:v>55</x:v>
      </x:c>
      <x:c r="C38" s="0" t="s">
        <x:v>21</x:v>
      </x:c>
      <x:c r="D38" s="0" t="s">
        <x:v>22</x:v>
      </x:c>
      <x:c r="E38" s="0">
        <x:v>1</x:v>
      </x:c>
      <x:c r="F38" s="0">
        <x:v>4</x:v>
      </x:c>
      <x:c r="G38" s="8">
        <x:v>295.82</x:v>
      </x:c>
      <x:c r="H38" s="8">
        <x:v>1183.27</x:v>
      </x:c>
      <x:c r="I38" s="0" t="s">
        <x:v>23</x:v>
      </x:c>
      <x:c r="K38" s="8">
        <x:v>1183.27</x:v>
      </x:c>
      <x:c r="L38" s="0" t="s">
        <x:v>24</x:v>
      </x:c>
      <x:c r="M38" s="0" t="s">
        <x:v>25</x:v>
      </x:c>
      <x:c r="N38" s="0" t="s">
        <x:v>26</x:v>
      </x:c>
      <x:c r="P38" s="0" t="s">
        <x:v>27</x:v>
      </x:c>
    </x:row>
    <x:row r="39" spans="1:20">
      <x:c r="A39" s="0">
        <x:v>38</x:v>
      </x:c>
      <x:c r="B39" s="0" t="s">
        <x:v>56</x:v>
      </x:c>
      <x:c r="C39" s="0" t="s">
        <x:v>21</x:v>
      </x:c>
      <x:c r="D39" s="0" t="s">
        <x:v>22</x:v>
      </x:c>
      <x:c r="E39" s="0">
        <x:v>1</x:v>
      </x:c>
      <x:c r="F39" s="0">
        <x:v>1</x:v>
      </x:c>
      <x:c r="G39" s="8">
        <x:v>350</x:v>
      </x:c>
      <x:c r="H39" s="8">
        <x:v>350</x:v>
      </x:c>
      <x:c r="I39" s="0" t="s">
        <x:v>23</x:v>
      </x:c>
      <x:c r="K39" s="8">
        <x:v>350</x:v>
      </x:c>
      <x:c r="L39" s="0" t="s">
        <x:v>24</x:v>
      </x:c>
      <x:c r="M39" s="0" t="s">
        <x:v>25</x:v>
      </x:c>
      <x:c r="N39" s="0" t="s">
        <x:v>26</x:v>
      </x:c>
      <x:c r="P39" s="0" t="s">
        <x:v>27</x:v>
      </x:c>
    </x:row>
    <x:row r="40" spans="1:20">
      <x:c r="A40" s="0">
        <x:v>39</x:v>
      </x:c>
      <x:c r="B40" s="0" t="s">
        <x:v>57</x:v>
      </x:c>
      <x:c r="C40" s="0" t="s">
        <x:v>21</x:v>
      </x:c>
      <x:c r="D40" s="0" t="s">
        <x:v>22</x:v>
      </x:c>
      <x:c r="E40" s="0">
        <x:v>1</x:v>
      </x:c>
      <x:c r="F40" s="0">
        <x:v>4</x:v>
      </x:c>
      <x:c r="G40" s="8">
        <x:v>125.63</x:v>
      </x:c>
      <x:c r="H40" s="8">
        <x:v>502.5</x:v>
      </x:c>
      <x:c r="I40" s="0" t="s">
        <x:v>23</x:v>
      </x:c>
      <x:c r="K40" s="8">
        <x:v>502.5</x:v>
      </x:c>
      <x:c r="L40" s="0" t="s">
        <x:v>24</x:v>
      </x:c>
      <x:c r="M40" s="0" t="s">
        <x:v>25</x:v>
      </x:c>
      <x:c r="N40" s="0" t="s">
        <x:v>26</x:v>
      </x:c>
      <x:c r="P40" s="0" t="s">
        <x:v>27</x:v>
      </x:c>
    </x:row>
    <x:row r="41" spans="1:20">
      <x:c r="A41" s="0">
        <x:v>40</x:v>
      </x:c>
      <x:c r="B41" s="0" t="s">
        <x:v>58</x:v>
      </x:c>
      <x:c r="C41" s="0" t="s">
        <x:v>21</x:v>
      </x:c>
      <x:c r="D41" s="0" t="s">
        <x:v>22</x:v>
      </x:c>
      <x:c r="E41" s="0">
        <x:v>1</x:v>
      </x:c>
      <x:c r="F41" s="0">
        <x:v>1</x:v>
      </x:c>
      <x:c r="G41" s="8">
        <x:v>280</x:v>
      </x:c>
      <x:c r="H41" s="8">
        <x:v>280</x:v>
      </x:c>
      <x:c r="I41" s="0" t="s">
        <x:v>23</x:v>
      </x:c>
      <x:c r="K41" s="8">
        <x:v>280</x:v>
      </x:c>
      <x:c r="L41" s="0" t="s">
        <x:v>24</x:v>
      </x:c>
      <x:c r="M41" s="0" t="s">
        <x:v>25</x:v>
      </x:c>
      <x:c r="N41" s="0" t="s">
        <x:v>26</x:v>
      </x:c>
      <x:c r="P41" s="0" t="s">
        <x:v>27</x:v>
      </x:c>
    </x:row>
    <x:row r="42" spans="1:20">
      <x:c r="A42" s="0">
        <x:v>41</x:v>
      </x:c>
      <x:c r="B42" s="0" t="s">
        <x:v>89</x:v>
      </x:c>
      <x:c r="C42" s="0" t="s">
        <x:v>21</x:v>
      </x:c>
      <x:c r="D42" s="0" t="s">
        <x:v>22</x:v>
      </x:c>
      <x:c r="E42" s="0">
        <x:v>1</x:v>
      </x:c>
      <x:c r="F42" s="0">
        <x:v>5</x:v>
      </x:c>
      <x:c r="G42" s="8">
        <x:v>378.66</x:v>
      </x:c>
      <x:c r="H42" s="8">
        <x:v>1893.3</x:v>
      </x:c>
      <x:c r="I42" s="0" t="s">
        <x:v>23</x:v>
      </x:c>
      <x:c r="K42" s="8">
        <x:v>1893.3</x:v>
      </x:c>
      <x:c r="L42" s="0" t="s">
        <x:v>24</x:v>
      </x:c>
      <x:c r="M42" s="0" t="s">
        <x:v>25</x:v>
      </x:c>
      <x:c r="N42" s="0" t="s">
        <x:v>26</x:v>
      </x:c>
      <x:c r="P42" s="0" t="s">
        <x:v>27</x:v>
      </x:c>
    </x:row>
    <x:row r="43" spans="1:20">
      <x:c r="A43" s="0">
        <x:v>42</x:v>
      </x:c>
      <x:c r="B43" s="0" t="s">
        <x:v>60</x:v>
      </x:c>
      <x:c r="C43" s="0" t="s">
        <x:v>21</x:v>
      </x:c>
      <x:c r="D43" s="0" t="s">
        <x:v>22</x:v>
      </x:c>
      <x:c r="E43" s="0">
        <x:v>1</x:v>
      </x:c>
      <x:c r="F43" s="0">
        <x:v>3</x:v>
      </x:c>
      <x:c r="G43" s="8">
        <x:v>147.67</x:v>
      </x:c>
      <x:c r="H43" s="8">
        <x:v>443</x:v>
      </x:c>
      <x:c r="I43" s="0" t="s">
        <x:v>23</x:v>
      </x:c>
      <x:c r="K43" s="8">
        <x:v>443</x:v>
      </x:c>
      <x:c r="L43" s="0" t="s">
        <x:v>24</x:v>
      </x:c>
      <x:c r="M43" s="0" t="s">
        <x:v>25</x:v>
      </x:c>
      <x:c r="N43" s="0" t="s">
        <x:v>26</x:v>
      </x:c>
      <x:c r="P43" s="0" t="s">
        <x:v>27</x:v>
      </x:c>
    </x:row>
    <x:row r="44" spans="1:20">
      <x:c r="A44" s="0">
        <x:v>43</x:v>
      </x:c>
      <x:c r="B44" s="0" t="s">
        <x:v>90</x:v>
      </x:c>
      <x:c r="C44" s="0" t="s">
        <x:v>21</x:v>
      </x:c>
      <x:c r="D44" s="0" t="s">
        <x:v>22</x:v>
      </x:c>
      <x:c r="E44" s="0">
        <x:v>1</x:v>
      </x:c>
      <x:c r="F44" s="0">
        <x:v>1</x:v>
      </x:c>
      <x:c r="G44" s="8">
        <x:v>45</x:v>
      </x:c>
      <x:c r="H44" s="8">
        <x:v>45</x:v>
      </x:c>
      <x:c r="I44" s="0" t="s">
        <x:v>23</x:v>
      </x:c>
      <x:c r="K44" s="8">
        <x:v>45</x:v>
      </x:c>
      <x:c r="L44" s="0" t="s">
        <x:v>24</x:v>
      </x:c>
      <x:c r="M44" s="0" t="s">
        <x:v>25</x:v>
      </x:c>
      <x:c r="N44" s="0" t="s">
        <x:v>26</x:v>
      </x:c>
      <x:c r="P44" s="0" t="s">
        <x:v>27</x:v>
      </x:c>
    </x:row>
    <x:row r="45" spans="1:20">
      <x:c r="B45" s="9"/>
      <x:c r="C45" s="9"/>
      <x:c r="D45" s="9"/>
      <x:c r="E45" s="9"/>
      <x:c r="F45" s="9"/>
      <x:c r="G45" s="9"/>
      <x:c r="H45" s="10">
        <x:f>SUM(H2:H44)</x:f>
      </x:c>
      <x:c r="I45" s="9"/>
    </x:row>
    <x:row r="46" spans="1:20">
      <x:c r="B46" s="9"/>
      <x:c r="C46" s="9"/>
      <x:c r="D46" s="9"/>
      <x:c r="E46" s="9"/>
      <x:c r="F46" s="9"/>
      <x:c r="G46" s="9"/>
      <x:c r="H46" s="9"/>
      <x:c r="I46" s="9"/>
    </x:row>
    <x:row r="47" spans="1:20">
      <x:c r="B47" s="11" t="s">
        <x:v>163</x:v>
      </x:c>
      <x:c r="C47" s="12"/>
      <x:c r="D47" s="12"/>
      <x:c r="E47" s="12"/>
      <x:c r="F47" s="12"/>
      <x:c r="G47" s="12"/>
      <x:c r="H47" s="12">
        <x:f>SUM(H48:H50)</x:f>
      </x:c>
      <x:c r="I47" s="13" t="s">
        <x:v>164</x:v>
      </x:c>
    </x:row>
    <x:row r="48" spans="1:20">
      <x:c r="B48" s="12" t="s">
        <x:v>165</x:v>
      </x:c>
      <x:c r="C48" s="12"/>
      <x:c r="D48" s="12"/>
      <x:c r="E48" s="12"/>
      <x:c r="F48" s="14">
        <x:f>F2+F3+F4+F5+F7+F8+F20+F22+F23+F28+F30+F33+F34+F40+F41+F43</x:f>
      </x:c>
      <x:c r="G48" s="14">
        <x:f>G2+G3+G4+G5+G7+G8+G20+G22+G23+G28+G30+G33+G34+G40+G41+G43</x:f>
      </x:c>
      <x:c r="H48" s="14">
        <x:f>H2+H3+H4+H5+H7+H8+H20+H22+H23+H28+H30+H33+H34+H40+H41+H43</x:f>
      </x:c>
      <x:c r="I48" s="13"/>
    </x:row>
    <x:row r="49" spans="1:20">
      <x:c r="B49" s="12" t="s">
        <x:v>166</x:v>
      </x:c>
      <x:c r="C49" s="12"/>
      <x:c r="D49" s="12"/>
      <x:c r="E49" s="12"/>
      <x:c r="F49" s="14">
        <x:f>F6+F44</x:f>
      </x:c>
      <x:c r="G49" s="14">
        <x:f>G6+G44</x:f>
      </x:c>
      <x:c r="H49" s="14">
        <x:f>H6+H44</x:f>
      </x:c>
      <x:c r="I49" s="13"/>
    </x:row>
    <x:row r="50" spans="1:20">
      <x:c r="B50" s="12" t="s">
        <x:v>167</x:v>
      </x:c>
      <x:c r="C50" s="12"/>
      <x:c r="D50" s="12"/>
      <x:c r="E50" s="12"/>
      <x:c r="F50" s="14">
        <x:f>F9+F31+F32+F36</x:f>
      </x:c>
      <x:c r="G50" s="14">
        <x:f>G9+G31+G32+G36</x:f>
      </x:c>
      <x:c r="H50" s="14">
        <x:f>H9+H31+H32+H36</x:f>
      </x:c>
      <x:c r="I50" s="13"/>
    </x:row>
    <x:row r="51" spans="1:20">
      <x:c r="B51" s="11" t="s">
        <x:v>168</x:v>
      </x:c>
      <x:c r="C51" s="12"/>
      <x:c r="D51" s="12"/>
      <x:c r="E51" s="12"/>
      <x:c r="F51" s="12"/>
      <x:c r="G51" s="12"/>
      <x:c r="H51" s="12">
        <x:f>SUM(H52:H58)</x:f>
      </x:c>
      <x:c r="I51" s="13" t="s">
        <x:v>169</x:v>
      </x:c>
    </x:row>
    <x:row r="52" spans="1:20">
      <x:c r="B52" s="12" t="s">
        <x:v>170</x:v>
      </x:c>
      <x:c r="C52" s="12"/>
      <x:c r="D52" s="12"/>
      <x:c r="E52" s="12"/>
      <x:c r="F52" s="14">
        <x:f>F11+F12+F13+F14+F15+F16+F17+F18+F19</x:f>
      </x:c>
      <x:c r="G52" s="14">
        <x:f>G11+G12+G13+G14+G15+G16+G17+G18+G19</x:f>
      </x:c>
      <x:c r="H52" s="14">
        <x:f>H11+H12+H13+H14+H15+H16+H17+H18+H19</x:f>
      </x:c>
      <x:c r="I52" s="13"/>
    </x:row>
    <x:row r="53" spans="1:20">
      <x:c r="B53" s="12" t="s">
        <x:v>171</x:v>
      </x:c>
      <x:c r="C53" s="12"/>
      <x:c r="D53" s="12"/>
      <x:c r="E53" s="12"/>
      <x:c r="F53" s="14"/>
      <x:c r="G53" s="14"/>
      <x:c r="H53" s="14"/>
      <x:c r="I53" s="13"/>
    </x:row>
    <x:row r="54" spans="1:20">
      <x:c r="B54" s="12" t="s">
        <x:v>172</x:v>
      </x:c>
      <x:c r="C54" s="12"/>
      <x:c r="D54" s="12"/>
      <x:c r="E54" s="12"/>
      <x:c r="F54" s="14">
        <x:f>F10</x:f>
      </x:c>
      <x:c r="G54" s="14">
        <x:f>G10</x:f>
      </x:c>
      <x:c r="H54" s="14">
        <x:f>H10</x:f>
      </x:c>
      <x:c r="I54" s="13"/>
    </x:row>
    <x:row r="55" spans="1:20">
      <x:c r="B55" s="12" t="s">
        <x:v>173</x:v>
      </x:c>
      <x:c r="C55" s="12"/>
      <x:c r="D55" s="12"/>
      <x:c r="E55" s="12"/>
      <x:c r="F55" s="14">
        <x:f>F29+F35</x:f>
      </x:c>
      <x:c r="G55" s="14">
        <x:f>G29+G35</x:f>
      </x:c>
      <x:c r="H55" s="14">
        <x:f>H29+H35</x:f>
      </x:c>
      <x:c r="I55" s="13"/>
    </x:row>
    <x:row r="56" spans="1:20">
      <x:c r="B56" s="12" t="s">
        <x:v>174</x:v>
      </x:c>
      <x:c r="C56" s="12"/>
      <x:c r="D56" s="12"/>
      <x:c r="E56" s="12"/>
      <x:c r="F56" s="14">
        <x:f>F27</x:f>
      </x:c>
      <x:c r="G56" s="14">
        <x:f>G27</x:f>
      </x:c>
      <x:c r="H56" s="14">
        <x:f>H27</x:f>
      </x:c>
      <x:c r="I56" s="13"/>
    </x:row>
    <x:row r="57" spans="1:20">
      <x:c r="B57" s="12" t="s">
        <x:v>70</x:v>
      </x:c>
      <x:c r="C57" s="12"/>
      <x:c r="D57" s="12"/>
      <x:c r="E57" s="12"/>
      <x:c r="F57" s="14">
        <x:f>F21</x:f>
      </x:c>
      <x:c r="G57" s="14">
        <x:f>G21</x:f>
      </x:c>
      <x:c r="H57" s="14">
        <x:f>H21</x:f>
      </x:c>
      <x:c r="I57" s="13"/>
    </x:row>
    <x:row r="58" spans="1:20">
      <x:c r="B58" s="12" t="s">
        <x:v>175</x:v>
      </x:c>
      <x:c r="C58" s="12"/>
      <x:c r="D58" s="12"/>
      <x:c r="E58" s="12"/>
      <x:c r="F58" s="14">
        <x:f>F42</x:f>
      </x:c>
      <x:c r="G58" s="14">
        <x:f>G42</x:f>
      </x:c>
      <x:c r="H58" s="14">
        <x:f>H42</x:f>
      </x:c>
      <x:c r="I58" s="13"/>
    </x:row>
    <x:row r="59" spans="1:20">
      <x:c r="B59" s="11" t="s">
        <x:v>176</x:v>
      </x:c>
      <x:c r="C59" s="12"/>
      <x:c r="D59" s="12"/>
      <x:c r="E59" s="12"/>
      <x:c r="F59" s="12"/>
      <x:c r="G59" s="12"/>
      <x:c r="H59" s="12">
        <x:f>SUM(H60:H65)</x:f>
      </x:c>
      <x:c r="I59" s="13" t="s">
        <x:v>177</x:v>
      </x:c>
    </x:row>
    <x:row r="60" spans="1:20">
      <x:c r="B60" s="12" t="s">
        <x:v>178</x:v>
      </x:c>
      <x:c r="C60" s="12"/>
      <x:c r="D60" s="12"/>
      <x:c r="E60" s="12"/>
      <x:c r="F60" s="14"/>
      <x:c r="G60" s="14"/>
      <x:c r="H60" s="14"/>
      <x:c r="I60" s="13"/>
    </x:row>
    <x:row r="61" spans="1:20">
      <x:c r="B61" s="12" t="s">
        <x:v>179</x:v>
      </x:c>
      <x:c r="C61" s="12"/>
      <x:c r="D61" s="12"/>
      <x:c r="E61" s="12"/>
      <x:c r="F61" s="14">
        <x:f>F38</x:f>
      </x:c>
      <x:c r="G61" s="14">
        <x:f>G38</x:f>
      </x:c>
      <x:c r="H61" s="14">
        <x:f>H38</x:f>
      </x:c>
      <x:c r="I61" s="13"/>
    </x:row>
    <x:row r="62" spans="1:20">
      <x:c r="B62" s="12" t="s">
        <x:v>54</x:v>
      </x:c>
      <x:c r="C62" s="12"/>
      <x:c r="D62" s="12"/>
      <x:c r="E62" s="12"/>
      <x:c r="F62" s="14">
        <x:f>F37</x:f>
      </x:c>
      <x:c r="G62" s="14">
        <x:f>G37</x:f>
      </x:c>
      <x:c r="H62" s="14">
        <x:f>H37</x:f>
      </x:c>
      <x:c r="I62" s="13"/>
    </x:row>
    <x:row r="63" spans="1:20">
      <x:c r="B63" s="12" t="s">
        <x:v>180</x:v>
      </x:c>
      <x:c r="C63" s="12"/>
      <x:c r="D63" s="12"/>
      <x:c r="E63" s="12"/>
      <x:c r="F63" s="14">
        <x:f>F39</x:f>
      </x:c>
      <x:c r="G63" s="14">
        <x:f>G39</x:f>
      </x:c>
      <x:c r="H63" s="14">
        <x:f>H39</x:f>
      </x:c>
      <x:c r="I63" s="13"/>
    </x:row>
    <x:row r="64" spans="1:20">
      <x:c r="B64" s="12" t="s">
        <x:v>181</x:v>
      </x:c>
      <x:c r="C64" s="12"/>
      <x:c r="D64" s="12"/>
      <x:c r="E64" s="12"/>
      <x:c r="F64" s="14">
        <x:f>F25+F26</x:f>
      </x:c>
      <x:c r="G64" s="14">
        <x:f>G25+G26</x:f>
      </x:c>
      <x:c r="H64" s="14">
        <x:f>H25+H26</x:f>
      </x:c>
      <x:c r="I64" s="13"/>
    </x:row>
    <x:row r="65" spans="1:20">
      <x:c r="B65" s="12" t="s">
        <x:v>182</x:v>
      </x:c>
      <x:c r="C65" s="12"/>
      <x:c r="D65" s="12"/>
      <x:c r="E65" s="12"/>
      <x:c r="F65" s="14">
        <x:f>F24</x:f>
      </x:c>
      <x:c r="G65" s="14">
        <x:f>G24</x:f>
      </x:c>
      <x:c r="H65" s="14">
        <x:f>H24</x:f>
      </x:c>
      <x:c r="I65" s="13"/>
    </x:row>
    <x:row r="66" spans="1:20">
      <x:c r="B66" s="11" t="s">
        <x:v>183</x:v>
      </x:c>
      <x:c r="C66" s="12"/>
      <x:c r="D66" s="12"/>
      <x:c r="E66" s="12"/>
      <x:c r="F66" s="12"/>
      <x:c r="G66" s="12"/>
      <x:c r="H66" s="12">
        <x:f>SUM(H67:H68)</x:f>
      </x:c>
      <x:c r="I66" s="13"/>
    </x:row>
    <x:row r="67" spans="1:20">
      <x:c r="B67" s="12" t="s">
        <x:v>184</x:v>
      </x:c>
      <x:c r="C67" s="12"/>
      <x:c r="D67" s="12"/>
      <x:c r="E67" s="12"/>
      <x:c r="F67" s="14"/>
      <x:c r="G67" s="14"/>
      <x:c r="H67" s="14"/>
      <x:c r="I67" s="13"/>
    </x:row>
    <x:row r="68" spans="1:20">
      <x:c r="B68" s="12" t="s">
        <x:v>185</x:v>
      </x:c>
      <x:c r="C68" s="12"/>
      <x:c r="D68" s="12"/>
      <x:c r="E68" s="12"/>
      <x:c r="F68" s="14"/>
      <x:c r="G68" s="14"/>
      <x:c r="H68" s="14"/>
      <x:c r="I68" s="15"/>
    </x:row>
    <x:row r="69" spans="1:20">
      <x:c r="B69" s="16"/>
      <x:c r="C69" s="16"/>
      <x:c r="D69" s="16"/>
      <x:c r="E69" s="16"/>
      <x:c r="F69" s="16"/>
      <x:c r="G69" s="16"/>
      <x:c r="H69" s="16">
        <x:f>H47+H51+H59+H66</x:f>
      </x:c>
      <x:c r="I69" s="15"/>
    </x:row>
    <x:row r="70" spans="1:20">
      <x:c r="H70" s="17">
        <x:f>H69 - H45</x:f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9AB3F7B-A6CF-7C40-AD80-6354F797C898}" mc:Ignorable="x14ac xr xr2 xr3">
  <x:sheetPr>
    <x:outlinePr summaryBelow="1" summaryRight="1"/>
  </x:sheetPr>
  <x:dimension ref="A1:T52"/>
  <x:sheetViews>
    <x:sheetView topLeftCell="A24" zoomScale="113" zoomScaleNormal="113" workbookViewId="0">
      <x:selection activeCell="A27" sqref="A27"/>
    </x:sheetView>
  </x:sheetViews>
  <x:sheetFormatPr defaultColWidth="11.210625" defaultRowHeight="15.75"/>
  <x:cols>
    <x:col min="1" max="1" width="11.210625" style="0" customWidth="1"/>
    <x:col min="2" max="2" width="43.125" style="0" customWidth="1"/>
    <x:col min="3" max="3" width="2.875" style="0" customWidth="1"/>
    <x:col min="4" max="4" width="2.625" style="0" customWidth="1"/>
    <x:col min="5" max="5" width="1.875" style="0" customWidth="1"/>
  </x:cols>
  <x:sheetData>
    <x:row r="1" spans="1:2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</x:row>
    <x:row r="2" spans="1:20">
      <x:c r="A2" s="0">
        <x:v>1</x:v>
      </x:c>
      <x:c r="B2" s="0" t="s">
        <x:v>91</x:v>
      </x:c>
      <x:c r="C2" s="0" t="s">
        <x:v>21</x:v>
      </x:c>
      <x:c r="D2" s="0" t="s">
        <x:v>22</x:v>
      </x:c>
      <x:c r="E2" s="0">
        <x:v>1</x:v>
      </x:c>
      <x:c r="F2" s="0">
        <x:v>1</x:v>
      </x:c>
      <x:c r="G2" s="8">
        <x:v>350</x:v>
      </x:c>
      <x:c r="H2" s="8">
        <x:v>350</x:v>
      </x:c>
      <x:c r="I2" s="0" t="s">
        <x:v>23</x:v>
      </x:c>
      <x:c r="K2" s="8">
        <x:v>350</x:v>
      </x:c>
      <x:c r="L2" s="0" t="s">
        <x:v>24</x:v>
      </x:c>
      <x:c r="M2" s="0" t="s">
        <x:v>25</x:v>
      </x:c>
      <x:c r="N2" s="0" t="s">
        <x:v>26</x:v>
      </x:c>
      <x:c r="P2" s="0" t="s">
        <x:v>27</x:v>
      </x:c>
    </x:row>
    <x:row r="3" spans="1:20">
      <x:c r="A3" s="0">
        <x:v>2</x:v>
      </x:c>
      <x:c r="B3" s="0" t="s">
        <x:v>20</x:v>
      </x:c>
      <x:c r="C3" s="0" t="s">
        <x:v>21</x:v>
      </x:c>
      <x:c r="D3" s="0" t="s">
        <x:v>22</x:v>
      </x:c>
      <x:c r="E3" s="0">
        <x:v>1</x:v>
      </x:c>
      <x:c r="F3" s="0">
        <x:v>1</x:v>
      </x:c>
      <x:c r="G3" s="8">
        <x:v>150</x:v>
      </x:c>
      <x:c r="H3" s="8">
        <x:v>150</x:v>
      </x:c>
      <x:c r="I3" s="0" t="s">
        <x:v>23</x:v>
      </x:c>
      <x:c r="K3" s="8">
        <x:v>150</x:v>
      </x:c>
      <x:c r="L3" s="0" t="s">
        <x:v>24</x:v>
      </x:c>
      <x:c r="M3" s="0" t="s">
        <x:v>25</x:v>
      </x:c>
      <x:c r="N3" s="0" t="s">
        <x:v>26</x:v>
      </x:c>
      <x:c r="P3" s="0" t="s">
        <x:v>27</x:v>
      </x:c>
    </x:row>
    <x:row r="4" spans="1:20">
      <x:c r="A4" s="0">
        <x:v>3</x:v>
      </x:c>
      <x:c r="B4" s="0" t="s">
        <x:v>28</x:v>
      </x:c>
      <x:c r="C4" s="0" t="s">
        <x:v>21</x:v>
      </x:c>
      <x:c r="D4" s="0" t="s">
        <x:v>22</x:v>
      </x:c>
      <x:c r="E4" s="0">
        <x:v>1</x:v>
      </x:c>
      <x:c r="F4" s="0">
        <x:v>1</x:v>
      </x:c>
      <x:c r="G4" s="8">
        <x:v>250</x:v>
      </x:c>
      <x:c r="H4" s="8">
        <x:v>250</x:v>
      </x:c>
      <x:c r="I4" s="0" t="s">
        <x:v>23</x:v>
      </x:c>
      <x:c r="K4" s="8">
        <x:v>250</x:v>
      </x:c>
      <x:c r="L4" s="0" t="s">
        <x:v>24</x:v>
      </x:c>
      <x:c r="M4" s="0" t="s">
        <x:v>25</x:v>
      </x:c>
      <x:c r="N4" s="0" t="s">
        <x:v>26</x:v>
      </x:c>
      <x:c r="P4" s="0" t="s">
        <x:v>27</x:v>
      </x:c>
    </x:row>
    <x:row r="5" spans="1:20">
      <x:c r="A5" s="0">
        <x:v>4</x:v>
      </x:c>
      <x:c r="B5" s="0" t="s">
        <x:v>30</x:v>
      </x:c>
      <x:c r="C5" s="0" t="s">
        <x:v>21</x:v>
      </x:c>
      <x:c r="D5" s="0" t="s">
        <x:v>22</x:v>
      </x:c>
      <x:c r="E5" s="0">
        <x:v>1</x:v>
      </x:c>
      <x:c r="F5" s="0">
        <x:v>7</x:v>
      </x:c>
      <x:c r="G5" s="8">
        <x:v>315.86</x:v>
      </x:c>
      <x:c r="H5" s="8">
        <x:v>2211</x:v>
      </x:c>
      <x:c r="I5" s="0" t="s">
        <x:v>23</x:v>
      </x:c>
      <x:c r="K5" s="8">
        <x:v>2211</x:v>
      </x:c>
      <x:c r="L5" s="0" t="s">
        <x:v>24</x:v>
      </x:c>
      <x:c r="M5" s="0" t="s">
        <x:v>25</x:v>
      </x:c>
      <x:c r="N5" s="0" t="s">
        <x:v>26</x:v>
      </x:c>
      <x:c r="P5" s="0" t="s">
        <x:v>27</x:v>
      </x:c>
    </x:row>
    <x:row r="6" spans="1:20">
      <x:c r="A6" s="0">
        <x:v>5</x:v>
      </x:c>
      <x:c r="B6" s="0" t="s">
        <x:v>31</x:v>
      </x:c>
      <x:c r="C6" s="0" t="s">
        <x:v>21</x:v>
      </x:c>
      <x:c r="D6" s="0" t="s">
        <x:v>22</x:v>
      </x:c>
      <x:c r="E6" s="0">
        <x:v>1</x:v>
      </x:c>
      <x:c r="F6" s="0">
        <x:v>2</x:v>
      </x:c>
      <x:c r="G6" s="8">
        <x:v>90</x:v>
      </x:c>
      <x:c r="H6" s="8">
        <x:v>180</x:v>
      </x:c>
      <x:c r="I6" s="0" t="s">
        <x:v>23</x:v>
      </x:c>
      <x:c r="K6" s="8">
        <x:v>180</x:v>
      </x:c>
      <x:c r="L6" s="0" t="s">
        <x:v>24</x:v>
      </x:c>
      <x:c r="M6" s="0" t="s">
        <x:v>25</x:v>
      </x:c>
      <x:c r="N6" s="0" t="s">
        <x:v>26</x:v>
      </x:c>
      <x:c r="P6" s="0" t="s">
        <x:v>27</x:v>
      </x:c>
    </x:row>
    <x:row r="7" spans="1:20">
      <x:c r="A7" s="0">
        <x:v>6</x:v>
      </x:c>
      <x:c r="B7" s="0" t="s">
        <x:v>62</x:v>
      </x:c>
      <x:c r="C7" s="0" t="s">
        <x:v>21</x:v>
      </x:c>
      <x:c r="D7" s="0" t="s">
        <x:v>34</x:v>
      </x:c>
      <x:c r="E7" s="0">
        <x:v>1</x:v>
      </x:c>
      <x:c r="F7" s="0">
        <x:v>0.2</x:v>
      </x:c>
      <x:c r="G7" s="8">
        <x:v>3180</x:v>
      </x:c>
      <x:c r="H7" s="8">
        <x:v>636</x:v>
      </x:c>
      <x:c r="I7" s="0" t="s">
        <x:v>23</x:v>
      </x:c>
      <x:c r="K7" s="8">
        <x:v>636</x:v>
      </x:c>
      <x:c r="L7" s="0" t="s">
        <x:v>24</x:v>
      </x:c>
      <x:c r="M7" s="0" t="s">
        <x:v>25</x:v>
      </x:c>
      <x:c r="N7" s="0" t="s">
        <x:v>26</x:v>
      </x:c>
      <x:c r="P7" s="0" t="s">
        <x:v>27</x:v>
      </x:c>
    </x:row>
    <x:row r="8" spans="1:20">
      <x:c r="A8" s="0">
        <x:v>7</x:v>
      </x:c>
      <x:c r="B8" s="0" t="s">
        <x:v>92</x:v>
      </x:c>
      <x:c r="C8" s="0" t="s">
        <x:v>21</x:v>
      </x:c>
      <x:c r="D8" s="0" t="s">
        <x:v>34</x:v>
      </x:c>
      <x:c r="E8" s="0">
        <x:v>1</x:v>
      </x:c>
      <x:c r="F8" s="0">
        <x:v>1</x:v>
      </x:c>
      <x:c r="G8" s="8">
        <x:v>3180</x:v>
      </x:c>
      <x:c r="H8" s="8">
        <x:v>3180</x:v>
      </x:c>
      <x:c r="I8" s="0" t="s">
        <x:v>23</x:v>
      </x:c>
      <x:c r="K8" s="8">
        <x:v>3180</x:v>
      </x:c>
      <x:c r="L8" s="0" t="s">
        <x:v>24</x:v>
      </x:c>
      <x:c r="M8" s="0" t="s">
        <x:v>25</x:v>
      </x:c>
      <x:c r="N8" s="0" t="s">
        <x:v>26</x:v>
      </x:c>
      <x:c r="P8" s="0" t="s">
        <x:v>27</x:v>
      </x:c>
    </x:row>
    <x:row r="9" spans="1:20">
      <x:c r="A9" s="0">
        <x:v>8</x:v>
      </x:c>
      <x:c r="B9" s="0" t="s">
        <x:v>64</x:v>
      </x:c>
      <x:c r="C9" s="0" t="s">
        <x:v>21</x:v>
      </x:c>
      <x:c r="D9" s="0" t="s">
        <x:v>34</x:v>
      </x:c>
      <x:c r="E9" s="0">
        <x:v>1</x:v>
      </x:c>
      <x:c r="F9" s="0">
        <x:v>0.2</x:v>
      </x:c>
      <x:c r="G9" s="8">
        <x:v>3480</x:v>
      </x:c>
      <x:c r="H9" s="8">
        <x:v>696</x:v>
      </x:c>
      <x:c r="I9" s="0" t="s">
        <x:v>23</x:v>
      </x:c>
      <x:c r="K9" s="8">
        <x:v>696</x:v>
      </x:c>
      <x:c r="L9" s="0" t="s">
        <x:v>24</x:v>
      </x:c>
      <x:c r="M9" s="0" t="s">
        <x:v>25</x:v>
      </x:c>
      <x:c r="N9" s="0" t="s">
        <x:v>26</x:v>
      </x:c>
      <x:c r="P9" s="0" t="s">
        <x:v>27</x:v>
      </x:c>
    </x:row>
    <x:row r="10" spans="1:20">
      <x:c r="A10" s="0">
        <x:v>9</x:v>
      </x:c>
      <x:c r="B10" s="0" t="s">
        <x:v>93</x:v>
      </x:c>
      <x:c r="C10" s="0" t="s">
        <x:v>21</x:v>
      </x:c>
      <x:c r="D10" s="0" t="s">
        <x:v>34</x:v>
      </x:c>
      <x:c r="E10" s="0">
        <x:v>1</x:v>
      </x:c>
      <x:c r="F10" s="0">
        <x:v>1</x:v>
      </x:c>
      <x:c r="G10" s="8">
        <x:v>3480</x:v>
      </x:c>
      <x:c r="H10" s="8">
        <x:v>3480</x:v>
      </x:c>
      <x:c r="I10" s="0" t="s">
        <x:v>23</x:v>
      </x:c>
      <x:c r="K10" s="8">
        <x:v>3480</x:v>
      </x:c>
      <x:c r="L10" s="0" t="s">
        <x:v>24</x:v>
      </x:c>
      <x:c r="M10" s="0" t="s">
        <x:v>25</x:v>
      </x:c>
      <x:c r="N10" s="0" t="s">
        <x:v>26</x:v>
      </x:c>
      <x:c r="P10" s="0" t="s">
        <x:v>27</x:v>
      </x:c>
    </x:row>
    <x:row r="11" spans="1:20">
      <x:c r="A11" s="0">
        <x:v>10</x:v>
      </x:c>
      <x:c r="B11" s="0" t="s">
        <x:v>35</x:v>
      </x:c>
      <x:c r="C11" s="0" t="s">
        <x:v>21</x:v>
      </x:c>
      <x:c r="D11" s="0" t="s">
        <x:v>34</x:v>
      </x:c>
      <x:c r="E11" s="0">
        <x:v>1</x:v>
      </x:c>
      <x:c r="F11" s="0">
        <x:v>0.11</x:v>
      </x:c>
      <x:c r="G11" s="8">
        <x:v>3309.91</x:v>
      </x:c>
      <x:c r="H11" s="8">
        <x:v>364.09</x:v>
      </x:c>
      <x:c r="I11" s="0" t="s">
        <x:v>23</x:v>
      </x:c>
      <x:c r="K11" s="8">
        <x:v>364.09</x:v>
      </x:c>
      <x:c r="L11" s="0" t="s">
        <x:v>24</x:v>
      </x:c>
      <x:c r="M11" s="0" t="s">
        <x:v>25</x:v>
      </x:c>
      <x:c r="N11" s="0" t="s">
        <x:v>26</x:v>
      </x:c>
      <x:c r="P11" s="0" t="s">
        <x:v>27</x:v>
      </x:c>
    </x:row>
    <x:row r="12" spans="1:20">
      <x:c r="A12" s="0">
        <x:v>11</x:v>
      </x:c>
      <x:c r="B12" s="0" t="s">
        <x:v>94</x:v>
      </x:c>
      <x:c r="C12" s="0" t="s">
        <x:v>21</x:v>
      </x:c>
      <x:c r="D12" s="0" t="s">
        <x:v>22</x:v>
      </x:c>
      <x:c r="E12" s="0">
        <x:v>1</x:v>
      </x:c>
      <x:c r="F12" s="0">
        <x:v>1</x:v>
      </x:c>
      <x:c r="G12" s="8">
        <x:v>85</x:v>
      </x:c>
      <x:c r="H12" s="8">
        <x:v>85</x:v>
      </x:c>
      <x:c r="I12" s="0" t="s">
        <x:v>23</x:v>
      </x:c>
      <x:c r="K12" s="8">
        <x:v>85</x:v>
      </x:c>
      <x:c r="L12" s="0" t="s">
        <x:v>24</x:v>
      </x:c>
      <x:c r="M12" s="0" t="s">
        <x:v>25</x:v>
      </x:c>
      <x:c r="N12" s="0" t="s">
        <x:v>26</x:v>
      </x:c>
      <x:c r="P12" s="0" t="s">
        <x:v>27</x:v>
      </x:c>
    </x:row>
    <x:row r="13" spans="1:20">
      <x:c r="A13" s="0">
        <x:v>12</x:v>
      </x:c>
      <x:c r="B13" s="0" t="s">
        <x:v>40</x:v>
      </x:c>
      <x:c r="C13" s="0" t="s">
        <x:v>21</x:v>
      </x:c>
      <x:c r="D13" s="0" t="s">
        <x:v>22</x:v>
      </x:c>
      <x:c r="E13" s="0">
        <x:v>1</x:v>
      </x:c>
      <x:c r="F13" s="0">
        <x:v>1</x:v>
      </x:c>
      <x:c r="G13" s="8">
        <x:v>400</x:v>
      </x:c>
      <x:c r="H13" s="8">
        <x:v>400</x:v>
      </x:c>
      <x:c r="I13" s="0" t="s">
        <x:v>23</x:v>
      </x:c>
      <x:c r="K13" s="8">
        <x:v>400</x:v>
      </x:c>
      <x:c r="L13" s="0" t="s">
        <x:v>24</x:v>
      </x:c>
      <x:c r="M13" s="0" t="s">
        <x:v>25</x:v>
      </x:c>
      <x:c r="N13" s="0" t="s">
        <x:v>26</x:v>
      </x:c>
      <x:c r="P13" s="0" t="s">
        <x:v>27</x:v>
      </x:c>
    </x:row>
    <x:row r="14" spans="1:20">
      <x:c r="A14" s="0">
        <x:v>13</x:v>
      </x:c>
      <x:c r="B14" s="0" t="s">
        <x:v>41</x:v>
      </x:c>
      <x:c r="C14" s="0" t="s">
        <x:v>21</x:v>
      </x:c>
      <x:c r="D14" s="0" t="s">
        <x:v>22</x:v>
      </x:c>
      <x:c r="E14" s="0">
        <x:v>1</x:v>
      </x:c>
      <x:c r="F14" s="0">
        <x:v>4</x:v>
      </x:c>
      <x:c r="G14" s="8">
        <x:v>300</x:v>
      </x:c>
      <x:c r="H14" s="8">
        <x:v>1200</x:v>
      </x:c>
      <x:c r="I14" s="0" t="s">
        <x:v>23</x:v>
      </x:c>
      <x:c r="K14" s="8">
        <x:v>1200</x:v>
      </x:c>
      <x:c r="L14" s="0" t="s">
        <x:v>24</x:v>
      </x:c>
      <x:c r="M14" s="0" t="s">
        <x:v>25</x:v>
      </x:c>
      <x:c r="N14" s="0" t="s">
        <x:v>26</x:v>
      </x:c>
      <x:c r="P14" s="0" t="s">
        <x:v>27</x:v>
      </x:c>
    </x:row>
    <x:row r="15" spans="1:20">
      <x:c r="A15" s="0">
        <x:v>14</x:v>
      </x:c>
      <x:c r="B15" s="0" t="s">
        <x:v>45</x:v>
      </x:c>
      <x:c r="C15" s="0" t="s">
        <x:v>21</x:v>
      </x:c>
      <x:c r="D15" s="0" t="s">
        <x:v>22</x:v>
      </x:c>
      <x:c r="E15" s="0">
        <x:v>1</x:v>
      </x:c>
      <x:c r="F15" s="0">
        <x:v>1</x:v>
      </x:c>
      <x:c r="G15" s="8">
        <x:v>107.71</x:v>
      </x:c>
      <x:c r="H15" s="8">
        <x:v>107.71</x:v>
      </x:c>
      <x:c r="I15" s="0" t="s">
        <x:v>23</x:v>
      </x:c>
      <x:c r="K15" s="8">
        <x:v>107.71</x:v>
      </x:c>
      <x:c r="L15" s="0" t="s">
        <x:v>24</x:v>
      </x:c>
      <x:c r="M15" s="0" t="s">
        <x:v>25</x:v>
      </x:c>
      <x:c r="N15" s="0" t="s">
        <x:v>26</x:v>
      </x:c>
      <x:c r="P15" s="0" t="s">
        <x:v>27</x:v>
      </x:c>
    </x:row>
    <x:row r="16" spans="1:20">
      <x:c r="A16" s="0">
        <x:v>15</x:v>
      </x:c>
      <x:c r="B16" s="0" t="s">
        <x:v>46</x:v>
      </x:c>
      <x:c r="C16" s="0" t="s">
        <x:v>21</x:v>
      </x:c>
      <x:c r="D16" s="0" t="s">
        <x:v>22</x:v>
      </x:c>
      <x:c r="E16" s="0">
        <x:v>1</x:v>
      </x:c>
      <x:c r="F16" s="0">
        <x:v>3</x:v>
      </x:c>
      <x:c r="G16" s="8">
        <x:v>150</x:v>
      </x:c>
      <x:c r="H16" s="8">
        <x:v>450</x:v>
      </x:c>
      <x:c r="I16" s="0" t="s">
        <x:v>23</x:v>
      </x:c>
      <x:c r="K16" s="8">
        <x:v>450</x:v>
      </x:c>
      <x:c r="L16" s="0" t="s">
        <x:v>24</x:v>
      </x:c>
      <x:c r="M16" s="0" t="s">
        <x:v>25</x:v>
      </x:c>
      <x:c r="N16" s="0" t="s">
        <x:v>26</x:v>
      </x:c>
      <x:c r="P16" s="0" t="s">
        <x:v>27</x:v>
      </x:c>
    </x:row>
    <x:row r="17" spans="1:20">
      <x:c r="A17" s="0">
        <x:v>16</x:v>
      </x:c>
      <x:c r="B17" s="0" t="s">
        <x:v>47</x:v>
      </x:c>
      <x:c r="C17" s="0" t="s">
        <x:v>21</x:v>
      </x:c>
      <x:c r="D17" s="0" t="s">
        <x:v>22</x:v>
      </x:c>
      <x:c r="E17" s="0">
        <x:v>1</x:v>
      </x:c>
      <x:c r="F17" s="0">
        <x:v>1</x:v>
      </x:c>
      <x:c r="G17" s="8">
        <x:v>270</x:v>
      </x:c>
      <x:c r="H17" s="8">
        <x:v>270</x:v>
      </x:c>
      <x:c r="I17" s="0" t="s">
        <x:v>23</x:v>
      </x:c>
      <x:c r="K17" s="8">
        <x:v>270</x:v>
      </x:c>
      <x:c r="L17" s="0" t="s">
        <x:v>24</x:v>
      </x:c>
      <x:c r="M17" s="0" t="s">
        <x:v>25</x:v>
      </x:c>
      <x:c r="N17" s="0" t="s">
        <x:v>26</x:v>
      </x:c>
      <x:c r="P17" s="0" t="s">
        <x:v>27</x:v>
      </x:c>
    </x:row>
    <x:row r="18" spans="1:20">
      <x:c r="A18" s="0">
        <x:v>17</x:v>
      </x:c>
      <x:c r="B18" s="0" t="s">
        <x:v>95</x:v>
      </x:c>
      <x:c r="C18" s="0" t="s">
        <x:v>21</x:v>
      </x:c>
      <x:c r="D18" s="0" t="s">
        <x:v>22</x:v>
      </x:c>
      <x:c r="E18" s="0">
        <x:v>1</x:v>
      </x:c>
      <x:c r="F18" s="0">
        <x:v>1</x:v>
      </x:c>
      <x:c r="G18" s="8">
        <x:v>300</x:v>
      </x:c>
      <x:c r="H18" s="8">
        <x:v>300</x:v>
      </x:c>
      <x:c r="I18" s="0" t="s">
        <x:v>23</x:v>
      </x:c>
      <x:c r="K18" s="8">
        <x:v>300</x:v>
      </x:c>
      <x:c r="L18" s="0" t="s">
        <x:v>24</x:v>
      </x:c>
      <x:c r="M18" s="0" t="s">
        <x:v>25</x:v>
      </x:c>
      <x:c r="N18" s="0" t="s">
        <x:v>26</x:v>
      </x:c>
      <x:c r="P18" s="0" t="s">
        <x:v>27</x:v>
      </x:c>
    </x:row>
    <x:row r="19" spans="1:20">
      <x:c r="A19" s="0">
        <x:v>18</x:v>
      </x:c>
      <x:c r="B19" s="0" t="s">
        <x:v>96</x:v>
      </x:c>
      <x:c r="C19" s="0" t="s">
        <x:v>21</x:v>
      </x:c>
      <x:c r="D19" s="0" t="s">
        <x:v>34</x:v>
      </x:c>
      <x:c r="E19" s="0">
        <x:v>1</x:v>
      </x:c>
      <x:c r="F19" s="0">
        <x:v>0.1</x:v>
      </x:c>
      <x:c r="G19" s="8">
        <x:v>3554.5</x:v>
      </x:c>
      <x:c r="H19" s="8">
        <x:v>355.45</x:v>
      </x:c>
      <x:c r="I19" s="0" t="s">
        <x:v>23</x:v>
      </x:c>
      <x:c r="K19" s="8">
        <x:v>355.45</x:v>
      </x:c>
      <x:c r="L19" s="0" t="s">
        <x:v>24</x:v>
      </x:c>
      <x:c r="M19" s="0" t="s">
        <x:v>25</x:v>
      </x:c>
      <x:c r="N19" s="0" t="s">
        <x:v>26</x:v>
      </x:c>
      <x:c r="P19" s="0" t="s">
        <x:v>27</x:v>
      </x:c>
    </x:row>
    <x:row r="20" spans="1:20">
      <x:c r="A20" s="0">
        <x:v>19</x:v>
      </x:c>
      <x:c r="B20" s="0" t="s">
        <x:v>51</x:v>
      </x:c>
      <x:c r="C20" s="0" t="s">
        <x:v>21</x:v>
      </x:c>
      <x:c r="D20" s="0" t="s">
        <x:v>22</x:v>
      </x:c>
      <x:c r="E20" s="0">
        <x:v>1</x:v>
      </x:c>
      <x:c r="F20" s="0">
        <x:v>2</x:v>
      </x:c>
      <x:c r="G20" s="8">
        <x:v>60</x:v>
      </x:c>
      <x:c r="H20" s="8">
        <x:v>120</x:v>
      </x:c>
      <x:c r="I20" s="0" t="s">
        <x:v>23</x:v>
      </x:c>
      <x:c r="K20" s="8">
        <x:v>120</x:v>
      </x:c>
      <x:c r="L20" s="0" t="s">
        <x:v>24</x:v>
      </x:c>
      <x:c r="M20" s="0" t="s">
        <x:v>25</x:v>
      </x:c>
      <x:c r="N20" s="0" t="s">
        <x:v>26</x:v>
      </x:c>
      <x:c r="P20" s="0" t="s">
        <x:v>27</x:v>
      </x:c>
    </x:row>
    <x:row r="21" spans="1:20">
      <x:c r="A21" s="0">
        <x:v>20</x:v>
      </x:c>
      <x:c r="B21" s="0" t="s">
        <x:v>97</x:v>
      </x:c>
      <x:c r="C21" s="0" t="s">
        <x:v>21</x:v>
      </x:c>
      <x:c r="D21" s="0" t="s">
        <x:v>22</x:v>
      </x:c>
      <x:c r="E21" s="0">
        <x:v>1</x:v>
      </x:c>
      <x:c r="F21" s="0">
        <x:v>1</x:v>
      </x:c>
      <x:c r="G21" s="8">
        <x:v>30</x:v>
      </x:c>
      <x:c r="H21" s="8">
        <x:v>30</x:v>
      </x:c>
      <x:c r="I21" s="0" t="s">
        <x:v>23</x:v>
      </x:c>
      <x:c r="K21" s="8">
        <x:v>30</x:v>
      </x:c>
      <x:c r="L21" s="0" t="s">
        <x:v>24</x:v>
      </x:c>
      <x:c r="M21" s="0" t="s">
        <x:v>25</x:v>
      </x:c>
      <x:c r="N21" s="0" t="s">
        <x:v>26</x:v>
      </x:c>
      <x:c r="P21" s="0" t="s">
        <x:v>27</x:v>
      </x:c>
    </x:row>
    <x:row r="22" spans="1:20">
      <x:c r="A22" s="0">
        <x:v>21</x:v>
      </x:c>
      <x:c r="B22" s="0" t="s">
        <x:v>53</x:v>
      </x:c>
      <x:c r="C22" s="0" t="s">
        <x:v>21</x:v>
      </x:c>
      <x:c r="D22" s="0" t="s">
        <x:v>22</x:v>
      </x:c>
      <x:c r="E22" s="0">
        <x:v>1</x:v>
      </x:c>
      <x:c r="F22" s="0">
        <x:v>2</x:v>
      </x:c>
      <x:c r="G22" s="8">
        <x:v>40</x:v>
      </x:c>
      <x:c r="H22" s="8">
        <x:v>80</x:v>
      </x:c>
      <x:c r="I22" s="0" t="s">
        <x:v>23</x:v>
      </x:c>
      <x:c r="K22" s="8">
        <x:v>80</x:v>
      </x:c>
      <x:c r="L22" s="0" t="s">
        <x:v>24</x:v>
      </x:c>
      <x:c r="M22" s="0" t="s">
        <x:v>25</x:v>
      </x:c>
      <x:c r="N22" s="0" t="s">
        <x:v>26</x:v>
      </x:c>
      <x:c r="P22" s="0" t="s">
        <x:v>27</x:v>
      </x:c>
    </x:row>
    <x:row r="23" spans="1:20">
      <x:c r="A23" s="0">
        <x:v>22</x:v>
      </x:c>
      <x:c r="B23" s="0" t="s">
        <x:v>55</x:v>
      </x:c>
      <x:c r="C23" s="0" t="s">
        <x:v>21</x:v>
      </x:c>
      <x:c r="D23" s="0" t="s">
        <x:v>22</x:v>
      </x:c>
      <x:c r="E23" s="0">
        <x:v>1</x:v>
      </x:c>
      <x:c r="F23" s="0">
        <x:v>4</x:v>
      </x:c>
      <x:c r="G23" s="8">
        <x:v>341.25</x:v>
      </x:c>
      <x:c r="H23" s="8">
        <x:v>1365</x:v>
      </x:c>
      <x:c r="I23" s="0" t="s">
        <x:v>23</x:v>
      </x:c>
      <x:c r="K23" s="8">
        <x:v>1365</x:v>
      </x:c>
      <x:c r="L23" s="0" t="s">
        <x:v>24</x:v>
      </x:c>
      <x:c r="M23" s="0" t="s">
        <x:v>25</x:v>
      </x:c>
      <x:c r="N23" s="0" t="s">
        <x:v>26</x:v>
      </x:c>
      <x:c r="P23" s="0" t="s">
        <x:v>27</x:v>
      </x:c>
    </x:row>
    <x:row r="24" spans="1:20">
      <x:c r="A24" s="0">
        <x:v>23</x:v>
      </x:c>
      <x:c r="B24" s="0" t="s">
        <x:v>57</x:v>
      </x:c>
      <x:c r="C24" s="0" t="s">
        <x:v>21</x:v>
      </x:c>
      <x:c r="D24" s="0" t="s">
        <x:v>22</x:v>
      </x:c>
      <x:c r="E24" s="0">
        <x:v>1</x:v>
      </x:c>
      <x:c r="F24" s="0">
        <x:v>1</x:v>
      </x:c>
      <x:c r="G24" s="8">
        <x:v>150</x:v>
      </x:c>
      <x:c r="H24" s="8">
        <x:v>150</x:v>
      </x:c>
      <x:c r="I24" s="0" t="s">
        <x:v>23</x:v>
      </x:c>
      <x:c r="K24" s="8">
        <x:v>150</x:v>
      </x:c>
      <x:c r="L24" s="0" t="s">
        <x:v>24</x:v>
      </x:c>
      <x:c r="M24" s="0" t="s">
        <x:v>25</x:v>
      </x:c>
      <x:c r="N24" s="0" t="s">
        <x:v>26</x:v>
      </x:c>
      <x:c r="P24" s="0" t="s">
        <x:v>27</x:v>
      </x:c>
    </x:row>
    <x:row r="25" spans="1:20">
      <x:c r="A25" s="0">
        <x:v>24</x:v>
      </x:c>
      <x:c r="B25" s="0" t="s">
        <x:v>58</x:v>
      </x:c>
      <x:c r="C25" s="0" t="s">
        <x:v>21</x:v>
      </x:c>
      <x:c r="D25" s="0" t="s">
        <x:v>22</x:v>
      </x:c>
      <x:c r="E25" s="0">
        <x:v>1</x:v>
      </x:c>
      <x:c r="F25" s="0">
        <x:v>1</x:v>
      </x:c>
      <x:c r="G25" s="8">
        <x:v>280</x:v>
      </x:c>
      <x:c r="H25" s="8">
        <x:v>280</x:v>
      </x:c>
      <x:c r="I25" s="0" t="s">
        <x:v>23</x:v>
      </x:c>
      <x:c r="K25" s="8">
        <x:v>280</x:v>
      </x:c>
      <x:c r="L25" s="0" t="s">
        <x:v>24</x:v>
      </x:c>
      <x:c r="M25" s="0" t="s">
        <x:v>25</x:v>
      </x:c>
      <x:c r="N25" s="0" t="s">
        <x:v>26</x:v>
      </x:c>
      <x:c r="P25" s="0" t="s">
        <x:v>27</x:v>
      </x:c>
    </x:row>
    <x:row r="26" spans="1:20">
      <x:c r="A26" s="0">
        <x:v>25</x:v>
      </x:c>
      <x:c r="B26" s="0" t="s">
        <x:v>98</x:v>
      </x:c>
      <x:c r="C26" s="0" t="s">
        <x:v>21</x:v>
      </x:c>
      <x:c r="D26" s="0" t="s">
        <x:v>34</x:v>
      </x:c>
      <x:c r="E26" s="0">
        <x:v>1</x:v>
      </x:c>
      <x:c r="F26" s="0">
        <x:v>0.1</x:v>
      </x:c>
      <x:c r="G26" s="8">
        <x:v>3425.5</x:v>
      </x:c>
      <x:c r="H26" s="8">
        <x:v>342.55</x:v>
      </x:c>
      <x:c r="I26" s="0" t="s">
        <x:v>23</x:v>
      </x:c>
      <x:c r="K26" s="8">
        <x:v>342.55</x:v>
      </x:c>
      <x:c r="L26" s="0" t="s">
        <x:v>24</x:v>
      </x:c>
      <x:c r="M26" s="0" t="s">
        <x:v>25</x:v>
      </x:c>
      <x:c r="N26" s="0" t="s">
        <x:v>26</x:v>
      </x:c>
      <x:c r="P26" s="0" t="s">
        <x:v>27</x:v>
      </x:c>
    </x:row>
    <x:row r="27" spans="1:20">
      <x:c r="B27" s="9"/>
      <x:c r="C27" s="9"/>
      <x:c r="D27" s="9"/>
      <x:c r="E27" s="9"/>
      <x:c r="F27" s="9"/>
      <x:c r="G27" s="9"/>
      <x:c r="H27" s="10">
        <x:f>SUM(H2:H26)</x:f>
      </x:c>
      <x:c r="I27" s="9"/>
    </x:row>
    <x:row r="28" spans="1:20">
      <x:c r="B28" s="9"/>
      <x:c r="C28" s="9"/>
      <x:c r="D28" s="9"/>
      <x:c r="E28" s="9"/>
      <x:c r="F28" s="9"/>
      <x:c r="G28" s="9"/>
      <x:c r="H28" s="9"/>
      <x:c r="I28" s="9"/>
    </x:row>
    <x:row r="29" spans="1:20">
      <x:c r="B29" s="11" t="s">
        <x:v>163</x:v>
      </x:c>
      <x:c r="C29" s="12"/>
      <x:c r="D29" s="12"/>
      <x:c r="E29" s="12"/>
      <x:c r="F29" s="12"/>
      <x:c r="G29" s="12"/>
      <x:c r="H29" s="12">
        <x:f>SUM(H30:H32)</x:f>
      </x:c>
      <x:c r="I29" s="13" t="s">
        <x:v>164</x:v>
      </x:c>
    </x:row>
    <x:row r="30" spans="1:20">
      <x:c r="B30" s="12" t="s">
        <x:v>165</x:v>
      </x:c>
      <x:c r="C30" s="12"/>
      <x:c r="D30" s="12"/>
      <x:c r="E30" s="12"/>
      <x:c r="F30" s="14">
        <x:f>F2+F3+F4+F5+F13+F14+F17+F18+F24+F25</x:f>
      </x:c>
      <x:c r="G30" s="14">
        <x:f>G2+G3+G4+G5+G13+G14+G17+G18+G24+G25</x:f>
      </x:c>
      <x:c r="H30" s="14">
        <x:f>H2+H3+H4+H5+H13+H14+H17+H18+H24+H25</x:f>
      </x:c>
      <x:c r="I30" s="13"/>
    </x:row>
    <x:row r="31" spans="1:20">
      <x:c r="B31" s="12" t="s">
        <x:v>166</x:v>
      </x:c>
      <x:c r="C31" s="12"/>
      <x:c r="D31" s="12"/>
      <x:c r="E31" s="12"/>
      <x:c r="F31" s="14">
        <x:f>F12+F21</x:f>
      </x:c>
      <x:c r="G31" s="14">
        <x:f>G12+G21</x:f>
      </x:c>
      <x:c r="H31" s="14">
        <x:f>H12+H21</x:f>
      </x:c>
      <x:c r="I31" s="13"/>
    </x:row>
    <x:row r="32" spans="1:20">
      <x:c r="B32" s="12" t="s">
        <x:v>167</x:v>
      </x:c>
      <x:c r="C32" s="12"/>
      <x:c r="D32" s="12"/>
      <x:c r="E32" s="12"/>
      <x:c r="F32" s="14">
        <x:f>F6+F20+F22</x:f>
      </x:c>
      <x:c r="G32" s="14">
        <x:f>G6+G20+G22</x:f>
      </x:c>
      <x:c r="H32" s="14">
        <x:f>H6+H20+H22</x:f>
      </x:c>
      <x:c r="I32" s="13"/>
    </x:row>
    <x:row r="33" spans="1:20">
      <x:c r="B33" s="11" t="s">
        <x:v>168</x:v>
      </x:c>
      <x:c r="C33" s="12"/>
      <x:c r="D33" s="12"/>
      <x:c r="E33" s="12"/>
      <x:c r="F33" s="12"/>
      <x:c r="G33" s="12"/>
      <x:c r="H33" s="12">
        <x:f>SUM(H34:H40)</x:f>
      </x:c>
      <x:c r="I33" s="13" t="s">
        <x:v>169</x:v>
      </x:c>
    </x:row>
    <x:row r="34" spans="1:20">
      <x:c r="B34" s="12" t="s">
        <x:v>170</x:v>
      </x:c>
      <x:c r="C34" s="12"/>
      <x:c r="D34" s="12"/>
      <x:c r="E34" s="12"/>
      <x:c r="F34" s="14">
        <x:f>F7+F8+F9+F10+F11</x:f>
      </x:c>
      <x:c r="G34" s="14">
        <x:f>G7+G8+G9+G10+G11</x:f>
      </x:c>
      <x:c r="H34" s="14">
        <x:f>H7+H8+H9+H10+H11</x:f>
      </x:c>
      <x:c r="I34" s="13"/>
    </x:row>
    <x:row r="35" spans="1:20">
      <x:c r="B35" s="12" t="s">
        <x:v>171</x:v>
      </x:c>
      <x:c r="C35" s="12"/>
      <x:c r="D35" s="12"/>
      <x:c r="E35" s="12"/>
      <x:c r="F35" s="14"/>
      <x:c r="G35" s="14"/>
      <x:c r="H35" s="14"/>
      <x:c r="I35" s="13"/>
    </x:row>
    <x:row r="36" spans="1:20">
      <x:c r="B36" s="12" t="s">
        <x:v>172</x:v>
      </x:c>
      <x:c r="C36" s="12"/>
      <x:c r="D36" s="12"/>
      <x:c r="E36" s="12"/>
      <x:c r="F36" s="14"/>
      <x:c r="G36" s="14"/>
      <x:c r="H36" s="14"/>
      <x:c r="I36" s="13"/>
    </x:row>
    <x:row r="37" spans="1:20">
      <x:c r="B37" s="12" t="s">
        <x:v>173</x:v>
      </x:c>
      <x:c r="C37" s="12"/>
      <x:c r="D37" s="12"/>
      <x:c r="E37" s="12"/>
      <x:c r="F37" s="14">
        <x:f>F19+F26</x:f>
      </x:c>
      <x:c r="G37" s="14">
        <x:f>G19+G26</x:f>
      </x:c>
      <x:c r="H37" s="14">
        <x:f>H19+H26</x:f>
      </x:c>
      <x:c r="I37" s="13"/>
    </x:row>
    <x:row r="38" spans="1:20">
      <x:c r="B38" s="12" t="s">
        <x:v>174</x:v>
      </x:c>
      <x:c r="C38" s="12"/>
      <x:c r="D38" s="12"/>
      <x:c r="E38" s="12"/>
      <x:c r="F38" s="14"/>
      <x:c r="G38" s="14"/>
      <x:c r="H38" s="14"/>
      <x:c r="I38" s="13"/>
    </x:row>
    <x:row r="39" spans="1:20">
      <x:c r="B39" s="12" t="s">
        <x:v>70</x:v>
      </x:c>
      <x:c r="C39" s="12"/>
      <x:c r="D39" s="12"/>
      <x:c r="E39" s="12"/>
      <x:c r="F39" s="14"/>
      <x:c r="G39" s="14"/>
      <x:c r="H39" s="14"/>
      <x:c r="I39" s="13"/>
    </x:row>
    <x:row r="40" spans="1:20">
      <x:c r="B40" s="12" t="s">
        <x:v>175</x:v>
      </x:c>
      <x:c r="C40" s="12"/>
      <x:c r="D40" s="12"/>
      <x:c r="E40" s="12"/>
      <x:c r="F40" s="14"/>
      <x:c r="G40" s="14"/>
      <x:c r="H40" s="14"/>
      <x:c r="I40" s="13"/>
    </x:row>
    <x:row r="41" spans="1:20">
      <x:c r="B41" s="11" t="s">
        <x:v>176</x:v>
      </x:c>
      <x:c r="C41" s="12"/>
      <x:c r="D41" s="12"/>
      <x:c r="E41" s="12"/>
      <x:c r="F41" s="12"/>
      <x:c r="G41" s="12"/>
      <x:c r="H41" s="12">
        <x:f>SUM(H42:H47)</x:f>
      </x:c>
      <x:c r="I41" s="13" t="s">
        <x:v>177</x:v>
      </x:c>
    </x:row>
    <x:row r="42" spans="1:20">
      <x:c r="B42" s="12" t="s">
        <x:v>178</x:v>
      </x:c>
      <x:c r="C42" s="12"/>
      <x:c r="D42" s="12"/>
      <x:c r="E42" s="12"/>
      <x:c r="F42" s="14"/>
      <x:c r="G42" s="14"/>
      <x:c r="H42" s="14"/>
      <x:c r="I42" s="13"/>
    </x:row>
    <x:row r="43" spans="1:20">
      <x:c r="B43" s="12" t="s">
        <x:v>179</x:v>
      </x:c>
      <x:c r="C43" s="12"/>
      <x:c r="D43" s="12"/>
      <x:c r="E43" s="12"/>
      <x:c r="F43" s="14">
        <x:f>F23</x:f>
      </x:c>
      <x:c r="G43" s="14">
        <x:f>G23</x:f>
      </x:c>
      <x:c r="H43" s="14">
        <x:f>H23</x:f>
      </x:c>
      <x:c r="I43" s="13"/>
    </x:row>
    <x:row r="44" spans="1:20">
      <x:c r="B44" s="12" t="s">
        <x:v>54</x:v>
      </x:c>
      <x:c r="C44" s="12"/>
      <x:c r="D44" s="12"/>
      <x:c r="E44" s="12"/>
      <x:c r="F44" s="14"/>
      <x:c r="G44" s="14"/>
      <x:c r="H44" s="14"/>
      <x:c r="I44" s="13"/>
    </x:row>
    <x:row r="45" spans="1:20">
      <x:c r="B45" s="12" t="s">
        <x:v>180</x:v>
      </x:c>
      <x:c r="C45" s="12"/>
      <x:c r="D45" s="12"/>
      <x:c r="E45" s="12"/>
      <x:c r="F45" s="14"/>
      <x:c r="G45" s="14"/>
      <x:c r="H45" s="14"/>
      <x:c r="I45" s="13"/>
    </x:row>
    <x:row r="46" spans="1:20">
      <x:c r="B46" s="12" t="s">
        <x:v>181</x:v>
      </x:c>
      <x:c r="C46" s="12"/>
      <x:c r="D46" s="12"/>
      <x:c r="E46" s="12"/>
      <x:c r="F46" s="14">
        <x:f>F15+F16</x:f>
      </x:c>
      <x:c r="G46" s="14">
        <x:f>G15+G16</x:f>
      </x:c>
      <x:c r="H46" s="14">
        <x:f>H15+H16</x:f>
      </x:c>
      <x:c r="I46" s="13"/>
    </x:row>
    <x:row r="47" spans="1:20">
      <x:c r="B47" s="12" t="s">
        <x:v>182</x:v>
      </x:c>
      <x:c r="C47" s="12"/>
      <x:c r="D47" s="12"/>
      <x:c r="E47" s="12"/>
      <x:c r="F47" s="14"/>
      <x:c r="G47" s="14"/>
      <x:c r="H47" s="14"/>
      <x:c r="I47" s="13"/>
    </x:row>
    <x:row r="48" spans="1:20">
      <x:c r="B48" s="11" t="s">
        <x:v>183</x:v>
      </x:c>
      <x:c r="C48" s="12"/>
      <x:c r="D48" s="12"/>
      <x:c r="E48" s="12"/>
      <x:c r="F48" s="12"/>
      <x:c r="G48" s="12"/>
      <x:c r="H48" s="12">
        <x:f>SUM(H49:H50)</x:f>
      </x:c>
      <x:c r="I48" s="13"/>
    </x:row>
    <x:row r="49" spans="1:20">
      <x:c r="B49" s="12" t="s">
        <x:v>184</x:v>
      </x:c>
      <x:c r="C49" s="12"/>
      <x:c r="D49" s="12"/>
      <x:c r="E49" s="12"/>
      <x:c r="F49" s="14"/>
      <x:c r="G49" s="14"/>
      <x:c r="H49" s="14"/>
      <x:c r="I49" s="13"/>
    </x:row>
    <x:row r="50" spans="1:20">
      <x:c r="B50" s="12" t="s">
        <x:v>185</x:v>
      </x:c>
      <x:c r="C50" s="12"/>
      <x:c r="D50" s="12"/>
      <x:c r="E50" s="12"/>
      <x:c r="F50" s="14"/>
      <x:c r="G50" s="14"/>
      <x:c r="H50" s="14"/>
      <x:c r="I50" s="15"/>
    </x:row>
    <x:row r="51" spans="1:20">
      <x:c r="B51" s="16"/>
      <x:c r="C51" s="16"/>
      <x:c r="D51" s="16"/>
      <x:c r="E51" s="16"/>
      <x:c r="F51" s="16"/>
      <x:c r="G51" s="16"/>
      <x:c r="H51" s="16">
        <x:f>H29+H33+H41+H48</x:f>
      </x:c>
      <x:c r="I51" s="15"/>
    </x:row>
    <x:row r="52" spans="1:20">
      <x:c r="H52" s="17">
        <x:f>H51 - H27</x:f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944B788-FEE7-6440-A3E2-23350CD72A45}" mc:Ignorable="x14ac xr xr2 xr3">
  <x:sheetPr>
    <x:outlinePr summaryBelow="1" summaryRight="1"/>
  </x:sheetPr>
  <x:dimension ref="A1:T62"/>
  <x:sheetViews>
    <x:sheetView topLeftCell="A34" zoomScale="114" zoomScaleNormal="114" workbookViewId="0">
      <x:selection activeCell="H63" sqref="H63"/>
    </x:sheetView>
  </x:sheetViews>
  <x:sheetFormatPr defaultColWidth="11.210625" defaultRowHeight="15.75"/>
  <x:cols>
    <x:col min="1" max="1" width="11.210625" style="0" customWidth="1"/>
    <x:col min="2" max="2" width="31.5" style="0" customWidth="1"/>
    <x:col min="3" max="3" width="3.375" style="0" customWidth="1"/>
    <x:col min="4" max="4" width="2.125" style="0" customWidth="1"/>
    <x:col min="5" max="5" width="1.875" style="0" customWidth="1"/>
  </x:cols>
  <x:sheetData>
    <x:row r="1" spans="1:2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</x:row>
    <x:row r="2" spans="1:20">
      <x:c r="A2" s="0">
        <x:v>1</x:v>
      </x:c>
      <x:c r="B2" s="0" t="s">
        <x:v>99</x:v>
      </x:c>
      <x:c r="C2" s="0" t="s">
        <x:v>21</x:v>
      </x:c>
      <x:c r="D2" s="0" t="s">
        <x:v>34</x:v>
      </x:c>
      <x:c r="E2" s="0">
        <x:v>1</x:v>
      </x:c>
      <x:c r="F2" s="0">
        <x:v>0.1</x:v>
      </x:c>
      <x:c r="G2" s="8">
        <x:v>5310</x:v>
      </x:c>
      <x:c r="H2" s="8">
        <x:v>531</x:v>
      </x:c>
      <x:c r="I2" s="0" t="s">
        <x:v>23</x:v>
      </x:c>
      <x:c r="K2" s="8">
        <x:v>531</x:v>
      </x:c>
      <x:c r="L2" s="0" t="s">
        <x:v>24</x:v>
      </x:c>
      <x:c r="M2" s="0" t="s">
        <x:v>25</x:v>
      </x:c>
      <x:c r="N2" s="0" t="s">
        <x:v>26</x:v>
      </x:c>
      <x:c r="P2" s="0" t="s">
        <x:v>27</x:v>
      </x:c>
    </x:row>
    <x:row r="3" spans="1:20">
      <x:c r="A3" s="0">
        <x:v>2</x:v>
      </x:c>
      <x:c r="B3" s="0" t="s">
        <x:v>61</x:v>
      </x:c>
      <x:c r="C3" s="0" t="s">
        <x:v>21</x:v>
      </x:c>
      <x:c r="D3" s="0" t="s">
        <x:v>22</x:v>
      </x:c>
      <x:c r="E3" s="0">
        <x:v>1</x:v>
      </x:c>
      <x:c r="F3" s="0">
        <x:v>4</x:v>
      </x:c>
      <x:c r="G3" s="8">
        <x:v>250</x:v>
      </x:c>
      <x:c r="H3" s="8">
        <x:v>1000</x:v>
      </x:c>
      <x:c r="I3" s="0" t="s">
        <x:v>23</x:v>
      </x:c>
      <x:c r="K3" s="8">
        <x:v>1000</x:v>
      </x:c>
      <x:c r="L3" s="0" t="s">
        <x:v>24</x:v>
      </x:c>
      <x:c r="M3" s="0" t="s">
        <x:v>25</x:v>
      </x:c>
      <x:c r="N3" s="0" t="s">
        <x:v>26</x:v>
      </x:c>
      <x:c r="P3" s="0" t="s">
        <x:v>27</x:v>
      </x:c>
    </x:row>
    <x:row r="4" spans="1:20">
      <x:c r="A4" s="0">
        <x:v>3</x:v>
      </x:c>
      <x:c r="B4" s="0" t="s">
        <x:v>20</x:v>
      </x:c>
      <x:c r="C4" s="0" t="s">
        <x:v>21</x:v>
      </x:c>
      <x:c r="D4" s="0" t="s">
        <x:v>22</x:v>
      </x:c>
      <x:c r="E4" s="0">
        <x:v>1</x:v>
      </x:c>
      <x:c r="F4" s="0">
        <x:v>1</x:v>
      </x:c>
      <x:c r="G4" s="8">
        <x:v>150</x:v>
      </x:c>
      <x:c r="H4" s="8">
        <x:v>150</x:v>
      </x:c>
      <x:c r="I4" s="0" t="s">
        <x:v>23</x:v>
      </x:c>
      <x:c r="K4" s="8">
        <x:v>150</x:v>
      </x:c>
      <x:c r="L4" s="0" t="s">
        <x:v>24</x:v>
      </x:c>
      <x:c r="M4" s="0" t="s">
        <x:v>25</x:v>
      </x:c>
      <x:c r="N4" s="0" t="s">
        <x:v>26</x:v>
      </x:c>
      <x:c r="P4" s="0" t="s">
        <x:v>27</x:v>
      </x:c>
    </x:row>
    <x:row r="5" spans="1:20">
      <x:c r="A5" s="0">
        <x:v>4</x:v>
      </x:c>
      <x:c r="B5" s="0" t="s">
        <x:v>100</x:v>
      </x:c>
      <x:c r="C5" s="0" t="s">
        <x:v>21</x:v>
      </x:c>
      <x:c r="D5" s="0" t="s">
        <x:v>34</x:v>
      </x:c>
      <x:c r="E5" s="0">
        <x:v>1</x:v>
      </x:c>
      <x:c r="F5" s="0">
        <x:v>0.1</x:v>
      </x:c>
      <x:c r="G5" s="8">
        <x:v>5000</x:v>
      </x:c>
      <x:c r="H5" s="8">
        <x:v>500</x:v>
      </x:c>
      <x:c r="I5" s="0" t="s">
        <x:v>23</x:v>
      </x:c>
      <x:c r="K5" s="8">
        <x:v>500</x:v>
      </x:c>
      <x:c r="L5" s="0" t="s">
        <x:v>24</x:v>
      </x:c>
      <x:c r="M5" s="0" t="s">
        <x:v>25</x:v>
      </x:c>
      <x:c r="N5" s="0" t="s">
        <x:v>26</x:v>
      </x:c>
      <x:c r="P5" s="0" t="s">
        <x:v>27</x:v>
      </x:c>
    </x:row>
    <x:row r="6" spans="1:20">
      <x:c r="A6" s="0">
        <x:v>5</x:v>
      </x:c>
      <x:c r="B6" s="0" t="s">
        <x:v>74</x:v>
      </x:c>
      <x:c r="C6" s="0" t="s">
        <x:v>21</x:v>
      </x:c>
      <x:c r="D6" s="0" t="s">
        <x:v>22</x:v>
      </x:c>
      <x:c r="E6" s="0">
        <x:v>1</x:v>
      </x:c>
      <x:c r="F6" s="0">
        <x:v>1</x:v>
      </x:c>
      <x:c r="G6" s="8">
        <x:v>250</x:v>
      </x:c>
      <x:c r="H6" s="8">
        <x:v>250</x:v>
      </x:c>
      <x:c r="I6" s="0" t="s">
        <x:v>23</x:v>
      </x:c>
      <x:c r="K6" s="8">
        <x:v>250</x:v>
      </x:c>
      <x:c r="L6" s="0" t="s">
        <x:v>24</x:v>
      </x:c>
      <x:c r="M6" s="0" t="s">
        <x:v>25</x:v>
      </x:c>
      <x:c r="N6" s="0" t="s">
        <x:v>26</x:v>
      </x:c>
      <x:c r="P6" s="0" t="s">
        <x:v>27</x:v>
      </x:c>
    </x:row>
    <x:row r="7" spans="1:20">
      <x:c r="A7" s="0">
        <x:v>6</x:v>
      </x:c>
      <x:c r="B7" s="0" t="s">
        <x:v>29</x:v>
      </x:c>
      <x:c r="C7" s="0" t="s">
        <x:v>21</x:v>
      </x:c>
      <x:c r="D7" s="0" t="s">
        <x:v>22</x:v>
      </x:c>
      <x:c r="E7" s="0">
        <x:v>1</x:v>
      </x:c>
      <x:c r="F7" s="0">
        <x:v>5</x:v>
      </x:c>
      <x:c r="G7" s="8">
        <x:v>245</x:v>
      </x:c>
      <x:c r="H7" s="8">
        <x:v>1225</x:v>
      </x:c>
      <x:c r="I7" s="0" t="s">
        <x:v>23</x:v>
      </x:c>
      <x:c r="K7" s="8">
        <x:v>1225</x:v>
      </x:c>
      <x:c r="L7" s="0" t="s">
        <x:v>24</x:v>
      </x:c>
      <x:c r="M7" s="0" t="s">
        <x:v>25</x:v>
      </x:c>
      <x:c r="N7" s="0" t="s">
        <x:v>26</x:v>
      </x:c>
      <x:c r="P7" s="0" t="s">
        <x:v>27</x:v>
      </x:c>
    </x:row>
    <x:row r="8" spans="1:20">
      <x:c r="A8" s="0">
        <x:v>7</x:v>
      </x:c>
      <x:c r="B8" s="0" t="s">
        <x:v>30</x:v>
      </x:c>
      <x:c r="C8" s="0" t="s">
        <x:v>21</x:v>
      </x:c>
      <x:c r="D8" s="0" t="s">
        <x:v>22</x:v>
      </x:c>
      <x:c r="E8" s="0">
        <x:v>1</x:v>
      </x:c>
      <x:c r="F8" s="0">
        <x:v>4</x:v>
      </x:c>
      <x:c r="G8" s="8">
        <x:v>322.6</x:v>
      </x:c>
      <x:c r="H8" s="8">
        <x:v>1290.39</x:v>
      </x:c>
      <x:c r="I8" s="0" t="s">
        <x:v>23</x:v>
      </x:c>
      <x:c r="K8" s="8">
        <x:v>1290.39</x:v>
      </x:c>
      <x:c r="L8" s="0" t="s">
        <x:v>24</x:v>
      </x:c>
      <x:c r="M8" s="0" t="s">
        <x:v>25</x:v>
      </x:c>
      <x:c r="N8" s="0" t="s">
        <x:v>26</x:v>
      </x:c>
      <x:c r="P8" s="0" t="s">
        <x:v>27</x:v>
      </x:c>
    </x:row>
    <x:row r="9" spans="1:20">
      <x:c r="A9" s="0">
        <x:v>8</x:v>
      </x:c>
      <x:c r="B9" s="0" t="s">
        <x:v>31</x:v>
      </x:c>
      <x:c r="C9" s="0" t="s">
        <x:v>21</x:v>
      </x:c>
      <x:c r="D9" s="0" t="s">
        <x:v>22</x:v>
      </x:c>
      <x:c r="E9" s="0">
        <x:v>1</x:v>
      </x:c>
      <x:c r="F9" s="0">
        <x:v>1</x:v>
      </x:c>
      <x:c r="G9" s="8">
        <x:v>91.03</x:v>
      </x:c>
      <x:c r="H9" s="8">
        <x:v>91.03</x:v>
      </x:c>
      <x:c r="I9" s="0" t="s">
        <x:v>23</x:v>
      </x:c>
      <x:c r="K9" s="8">
        <x:v>91.03</x:v>
      </x:c>
      <x:c r="L9" s="0" t="s">
        <x:v>24</x:v>
      </x:c>
      <x:c r="M9" s="0" t="s">
        <x:v>25</x:v>
      </x:c>
      <x:c r="N9" s="0" t="s">
        <x:v>26</x:v>
      </x:c>
      <x:c r="P9" s="0" t="s">
        <x:v>27</x:v>
      </x:c>
    </x:row>
    <x:row r="10" spans="1:20">
      <x:c r="A10" s="0">
        <x:v>9</x:v>
      </x:c>
      <x:c r="B10" s="0" t="s">
        <x:v>101</x:v>
      </x:c>
      <x:c r="C10" s="0" t="s">
        <x:v>21</x:v>
      </x:c>
      <x:c r="D10" s="0" t="s">
        <x:v>34</x:v>
      </x:c>
      <x:c r="E10" s="0">
        <x:v>1</x:v>
      </x:c>
      <x:c r="F10" s="0">
        <x:v>0.5</x:v>
      </x:c>
      <x:c r="G10" s="8">
        <x:v>3480</x:v>
      </x:c>
      <x:c r="H10" s="8">
        <x:v>1740</x:v>
      </x:c>
      <x:c r="I10" s="0" t="s">
        <x:v>23</x:v>
      </x:c>
      <x:c r="K10" s="8">
        <x:v>1740</x:v>
      </x:c>
      <x:c r="L10" s="0" t="s">
        <x:v>24</x:v>
      </x:c>
      <x:c r="M10" s="0" t="s">
        <x:v>25</x:v>
      </x:c>
      <x:c r="N10" s="0" t="s">
        <x:v>26</x:v>
      </x:c>
      <x:c r="P10" s="0" t="s">
        <x:v>27</x:v>
      </x:c>
    </x:row>
    <x:row r="11" spans="1:20">
      <x:c r="A11" s="0">
        <x:v>10</x:v>
      </x:c>
      <x:c r="B11" s="0" t="s">
        <x:v>63</x:v>
      </x:c>
      <x:c r="C11" s="0" t="s">
        <x:v>21</x:v>
      </x:c>
      <x:c r="D11" s="0" t="s">
        <x:v>34</x:v>
      </x:c>
      <x:c r="E11" s="0">
        <x:v>1</x:v>
      </x:c>
      <x:c r="F11" s="0">
        <x:v>0.5</x:v>
      </x:c>
      <x:c r="G11" s="8">
        <x:v>6580</x:v>
      </x:c>
      <x:c r="H11" s="8">
        <x:v>3290</x:v>
      </x:c>
      <x:c r="I11" s="0" t="s">
        <x:v>23</x:v>
      </x:c>
      <x:c r="K11" s="8">
        <x:v>3290</x:v>
      </x:c>
      <x:c r="L11" s="0" t="s">
        <x:v>24</x:v>
      </x:c>
      <x:c r="M11" s="0" t="s">
        <x:v>25</x:v>
      </x:c>
      <x:c r="N11" s="0" t="s">
        <x:v>26</x:v>
      </x:c>
      <x:c r="P11" s="0" t="s">
        <x:v>27</x:v>
      </x:c>
    </x:row>
    <x:row r="12" spans="1:20">
      <x:c r="A12" s="0">
        <x:v>11</x:v>
      </x:c>
      <x:c r="B12" s="0" t="s">
        <x:v>64</x:v>
      </x:c>
      <x:c r="C12" s="0" t="s">
        <x:v>21</x:v>
      </x:c>
      <x:c r="D12" s="0" t="s">
        <x:v>34</x:v>
      </x:c>
      <x:c r="E12" s="0">
        <x:v>1</x:v>
      </x:c>
      <x:c r="F12" s="0">
        <x:v>0.2</x:v>
      </x:c>
      <x:c r="G12" s="8">
        <x:v>3159.55</x:v>
      </x:c>
      <x:c r="H12" s="8">
        <x:v>631.91</x:v>
      </x:c>
      <x:c r="I12" s="0" t="s">
        <x:v>23</x:v>
      </x:c>
      <x:c r="K12" s="8">
        <x:v>631.91</x:v>
      </x:c>
      <x:c r="L12" s="0" t="s">
        <x:v>24</x:v>
      </x:c>
      <x:c r="M12" s="0" t="s">
        <x:v>25</x:v>
      </x:c>
      <x:c r="N12" s="0" t="s">
        <x:v>26</x:v>
      </x:c>
      <x:c r="P12" s="0" t="s">
        <x:v>27</x:v>
      </x:c>
    </x:row>
    <x:row r="13" spans="1:20">
      <x:c r="A13" s="0">
        <x:v>12</x:v>
      </x:c>
      <x:c r="B13" s="0" t="s">
        <x:v>102</x:v>
      </x:c>
      <x:c r="C13" s="0" t="s">
        <x:v>21</x:v>
      </x:c>
      <x:c r="D13" s="0" t="s">
        <x:v>34</x:v>
      </x:c>
      <x:c r="E13" s="0">
        <x:v>1</x:v>
      </x:c>
      <x:c r="F13" s="0">
        <x:v>0.427</x:v>
      </x:c>
      <x:c r="G13" s="8">
        <x:v>4980</x:v>
      </x:c>
      <x:c r="H13" s="8">
        <x:v>2126.46</x:v>
      </x:c>
      <x:c r="I13" s="0" t="s">
        <x:v>23</x:v>
      </x:c>
      <x:c r="K13" s="8">
        <x:v>2126.46</x:v>
      </x:c>
      <x:c r="L13" s="0" t="s">
        <x:v>24</x:v>
      </x:c>
      <x:c r="M13" s="0" t="s">
        <x:v>25</x:v>
      </x:c>
      <x:c r="N13" s="0" t="s">
        <x:v>26</x:v>
      </x:c>
      <x:c r="P13" s="0" t="s">
        <x:v>27</x:v>
      </x:c>
    </x:row>
    <x:row r="14" spans="1:20">
      <x:c r="A14" s="0">
        <x:v>13</x:v>
      </x:c>
      <x:c r="B14" s="0" t="s">
        <x:v>35</x:v>
      </x:c>
      <x:c r="C14" s="0" t="s">
        <x:v>21</x:v>
      </x:c>
      <x:c r="D14" s="0" t="s">
        <x:v>34</x:v>
      </x:c>
      <x:c r="E14" s="0">
        <x:v>1</x:v>
      </x:c>
      <x:c r="F14" s="0">
        <x:v>0.4</x:v>
      </x:c>
      <x:c r="G14" s="8">
        <x:v>3224.35</x:v>
      </x:c>
      <x:c r="H14" s="8">
        <x:v>1289.74</x:v>
      </x:c>
      <x:c r="I14" s="0" t="s">
        <x:v>23</x:v>
      </x:c>
      <x:c r="K14" s="8">
        <x:v>1289.74</x:v>
      </x:c>
      <x:c r="L14" s="0" t="s">
        <x:v>24</x:v>
      </x:c>
      <x:c r="M14" s="0" t="s">
        <x:v>25</x:v>
      </x:c>
      <x:c r="N14" s="0" t="s">
        <x:v>26</x:v>
      </x:c>
      <x:c r="P14" s="0" t="s">
        <x:v>27</x:v>
      </x:c>
    </x:row>
    <x:row r="15" spans="1:20">
      <x:c r="A15" s="0">
        <x:v>14</x:v>
      </x:c>
      <x:c r="B15" s="0" t="s">
        <x:v>38</x:v>
      </x:c>
      <x:c r="C15" s="0" t="s">
        <x:v>21</x:v>
      </x:c>
      <x:c r="D15" s="0" t="s">
        <x:v>22</x:v>
      </x:c>
      <x:c r="E15" s="0">
        <x:v>1</x:v>
      </x:c>
      <x:c r="F15" s="0">
        <x:v>1</x:v>
      </x:c>
      <x:c r="G15" s="8">
        <x:v>420</x:v>
      </x:c>
      <x:c r="H15" s="8">
        <x:v>420</x:v>
      </x:c>
      <x:c r="I15" s="0" t="s">
        <x:v>23</x:v>
      </x:c>
      <x:c r="K15" s="8">
        <x:v>420</x:v>
      </x:c>
      <x:c r="L15" s="0" t="s">
        <x:v>24</x:v>
      </x:c>
      <x:c r="M15" s="0" t="s">
        <x:v>25</x:v>
      </x:c>
      <x:c r="N15" s="0" t="s">
        <x:v>26</x:v>
      </x:c>
      <x:c r="P15" s="0" t="s">
        <x:v>27</x:v>
      </x:c>
    </x:row>
    <x:row r="16" spans="1:20">
      <x:c r="A16" s="0">
        <x:v>15</x:v>
      </x:c>
      <x:c r="B16" s="0" t="s">
        <x:v>103</x:v>
      </x:c>
      <x:c r="C16" s="0" t="s">
        <x:v>21</x:v>
      </x:c>
      <x:c r="D16" s="0" t="s">
        <x:v>22</x:v>
      </x:c>
      <x:c r="E16" s="0">
        <x:v>1</x:v>
      </x:c>
      <x:c r="F16" s="0">
        <x:v>1</x:v>
      </x:c>
      <x:c r="G16" s="8">
        <x:v>420</x:v>
      </x:c>
      <x:c r="H16" s="8">
        <x:v>420</x:v>
      </x:c>
      <x:c r="I16" s="0" t="s">
        <x:v>23</x:v>
      </x:c>
      <x:c r="K16" s="8">
        <x:v>420</x:v>
      </x:c>
      <x:c r="L16" s="0" t="s">
        <x:v>24</x:v>
      </x:c>
      <x:c r="M16" s="0" t="s">
        <x:v>25</x:v>
      </x:c>
      <x:c r="N16" s="0" t="s">
        <x:v>26</x:v>
      </x:c>
      <x:c r="P16" s="0" t="s">
        <x:v>27</x:v>
      </x:c>
    </x:row>
    <x:row r="17" spans="1:20">
      <x:c r="A17" s="0">
        <x:v>16</x:v>
      </x:c>
      <x:c r="B17" s="0" t="s">
        <x:v>39</x:v>
      </x:c>
      <x:c r="C17" s="0" t="s">
        <x:v>21</x:v>
      </x:c>
      <x:c r="D17" s="0" t="s">
        <x:v>22</x:v>
      </x:c>
      <x:c r="E17" s="0">
        <x:v>1</x:v>
      </x:c>
      <x:c r="F17" s="0">
        <x:v>3</x:v>
      </x:c>
      <x:c r="G17" s="8">
        <x:v>242.32</x:v>
      </x:c>
      <x:c r="H17" s="8">
        <x:v>726.97</x:v>
      </x:c>
      <x:c r="I17" s="0" t="s">
        <x:v>23</x:v>
      </x:c>
      <x:c r="K17" s="8">
        <x:v>726.97</x:v>
      </x:c>
      <x:c r="L17" s="0" t="s">
        <x:v>24</x:v>
      </x:c>
      <x:c r="M17" s="0" t="s">
        <x:v>25</x:v>
      </x:c>
      <x:c r="N17" s="0" t="s">
        <x:v>26</x:v>
      </x:c>
      <x:c r="P17" s="0" t="s">
        <x:v>27</x:v>
      </x:c>
    </x:row>
    <x:row r="18" spans="1:20">
      <x:c r="A18" s="0">
        <x:v>17</x:v>
      </x:c>
      <x:c r="B18" s="0" t="s">
        <x:v>41</x:v>
      </x:c>
      <x:c r="C18" s="0" t="s">
        <x:v>21</x:v>
      </x:c>
      <x:c r="D18" s="0" t="s">
        <x:v>22</x:v>
      </x:c>
      <x:c r="E18" s="0">
        <x:v>1</x:v>
      </x:c>
      <x:c r="F18" s="0">
        <x:v>2</x:v>
      </x:c>
      <x:c r="G18" s="8">
        <x:v>300</x:v>
      </x:c>
      <x:c r="H18" s="8">
        <x:v>600</x:v>
      </x:c>
      <x:c r="I18" s="0" t="s">
        <x:v>23</x:v>
      </x:c>
      <x:c r="K18" s="8">
        <x:v>600</x:v>
      </x:c>
      <x:c r="L18" s="0" t="s">
        <x:v>24</x:v>
      </x:c>
      <x:c r="M18" s="0" t="s">
        <x:v>25</x:v>
      </x:c>
      <x:c r="N18" s="0" t="s">
        <x:v>26</x:v>
      </x:c>
      <x:c r="P18" s="0" t="s">
        <x:v>27</x:v>
      </x:c>
    </x:row>
    <x:row r="19" spans="1:20">
      <x:c r="A19" s="0">
        <x:v>18</x:v>
      </x:c>
      <x:c r="B19" s="0" t="s">
        <x:v>44</x:v>
      </x:c>
      <x:c r="C19" s="0" t="s">
        <x:v>21</x:v>
      </x:c>
      <x:c r="D19" s="0" t="s">
        <x:v>22</x:v>
      </x:c>
      <x:c r="E19" s="0">
        <x:v>1</x:v>
      </x:c>
      <x:c r="F19" s="0">
        <x:v>8</x:v>
      </x:c>
      <x:c r="G19" s="8">
        <x:v>84.02</x:v>
      </x:c>
      <x:c r="H19" s="8">
        <x:v>672.18</x:v>
      </x:c>
      <x:c r="I19" s="0" t="s">
        <x:v>23</x:v>
      </x:c>
      <x:c r="K19" s="8">
        <x:v>672.18</x:v>
      </x:c>
      <x:c r="L19" s="0" t="s">
        <x:v>24</x:v>
      </x:c>
      <x:c r="M19" s="0" t="s">
        <x:v>25</x:v>
      </x:c>
      <x:c r="N19" s="0" t="s">
        <x:v>26</x:v>
      </x:c>
      <x:c r="P19" s="0" t="s">
        <x:v>27</x:v>
      </x:c>
    </x:row>
    <x:row r="20" spans="1:20">
      <x:c r="A20" s="0">
        <x:v>19</x:v>
      </x:c>
      <x:c r="B20" s="0" t="s">
        <x:v>46</x:v>
      </x:c>
      <x:c r="C20" s="0" t="s">
        <x:v>21</x:v>
      </x:c>
      <x:c r="D20" s="0" t="s">
        <x:v>22</x:v>
      </x:c>
      <x:c r="E20" s="0">
        <x:v>1</x:v>
      </x:c>
      <x:c r="F20" s="0">
        <x:v>2</x:v>
      </x:c>
      <x:c r="G20" s="8">
        <x:v>180</x:v>
      </x:c>
      <x:c r="H20" s="8">
        <x:v>360</x:v>
      </x:c>
      <x:c r="I20" s="0" t="s">
        <x:v>23</x:v>
      </x:c>
      <x:c r="K20" s="8">
        <x:v>360</x:v>
      </x:c>
      <x:c r="L20" s="0" t="s">
        <x:v>24</x:v>
      </x:c>
      <x:c r="M20" s="0" t="s">
        <x:v>25</x:v>
      </x:c>
      <x:c r="N20" s="0" t="s">
        <x:v>26</x:v>
      </x:c>
      <x:c r="P20" s="0" t="s">
        <x:v>27</x:v>
      </x:c>
    </x:row>
    <x:row r="21" spans="1:20">
      <x:c r="A21" s="0">
        <x:v>20</x:v>
      </x:c>
      <x:c r="B21" s="0" t="s">
        <x:v>47</x:v>
      </x:c>
      <x:c r="C21" s="0" t="s">
        <x:v>21</x:v>
      </x:c>
      <x:c r="D21" s="0" t="s">
        <x:v>22</x:v>
      </x:c>
      <x:c r="E21" s="0">
        <x:v>1</x:v>
      </x:c>
      <x:c r="F21" s="0">
        <x:v>5</x:v>
      </x:c>
      <x:c r="G21" s="8">
        <x:v>270</x:v>
      </x:c>
      <x:c r="H21" s="8">
        <x:v>1350</x:v>
      </x:c>
      <x:c r="I21" s="0" t="s">
        <x:v>23</x:v>
      </x:c>
      <x:c r="K21" s="8">
        <x:v>1350</x:v>
      </x:c>
      <x:c r="L21" s="0" t="s">
        <x:v>24</x:v>
      </x:c>
      <x:c r="M21" s="0" t="s">
        <x:v>25</x:v>
      </x:c>
      <x:c r="N21" s="0" t="s">
        <x:v>26</x:v>
      </x:c>
      <x:c r="P21" s="0" t="s">
        <x:v>27</x:v>
      </x:c>
    </x:row>
    <x:row r="22" spans="1:20">
      <x:c r="A22" s="0">
        <x:v>21</x:v>
      </x:c>
      <x:c r="B22" s="0" t="s">
        <x:v>104</x:v>
      </x:c>
      <x:c r="C22" s="0" t="s">
        <x:v>21</x:v>
      </x:c>
      <x:c r="D22" s="0" t="s">
        <x:v>34</x:v>
      </x:c>
      <x:c r="E22" s="0">
        <x:v>1</x:v>
      </x:c>
      <x:c r="F22" s="0">
        <x:v>0.05</x:v>
      </x:c>
      <x:c r="G22" s="8">
        <x:v>3400</x:v>
      </x:c>
      <x:c r="H22" s="8">
        <x:v>170</x:v>
      </x:c>
      <x:c r="I22" s="0" t="s">
        <x:v>23</x:v>
      </x:c>
      <x:c r="K22" s="8">
        <x:v>170</x:v>
      </x:c>
      <x:c r="L22" s="0" t="s">
        <x:v>24</x:v>
      </x:c>
      <x:c r="M22" s="0" t="s">
        <x:v>25</x:v>
      </x:c>
      <x:c r="N22" s="0" t="s">
        <x:v>26</x:v>
      </x:c>
      <x:c r="P22" s="0" t="s">
        <x:v>27</x:v>
      </x:c>
    </x:row>
    <x:row r="23" spans="1:20">
      <x:c r="A23" s="0">
        <x:v>22</x:v>
      </x:c>
      <x:c r="B23" s="0" t="s">
        <x:v>105</x:v>
      </x:c>
      <x:c r="C23" s="0" t="s">
        <x:v>21</x:v>
      </x:c>
      <x:c r="D23" s="0" t="s">
        <x:v>34</x:v>
      </x:c>
      <x:c r="E23" s="0">
        <x:v>1</x:v>
      </x:c>
      <x:c r="F23" s="0">
        <x:v>0.1</x:v>
      </x:c>
      <x:c r="G23" s="8">
        <x:v>3232.1</x:v>
      </x:c>
      <x:c r="H23" s="8">
        <x:v>323.21</x:v>
      </x:c>
      <x:c r="I23" s="0" t="s">
        <x:v>23</x:v>
      </x:c>
      <x:c r="K23" s="8">
        <x:v>323.21</x:v>
      </x:c>
      <x:c r="L23" s="0" t="s">
        <x:v>24</x:v>
      </x:c>
      <x:c r="M23" s="0" t="s">
        <x:v>25</x:v>
      </x:c>
      <x:c r="N23" s="0" t="s">
        <x:v>26</x:v>
      </x:c>
      <x:c r="P23" s="0" t="s">
        <x:v>27</x:v>
      </x:c>
    </x:row>
    <x:row r="24" spans="1:20">
      <x:c r="A24" s="0">
        <x:v>23</x:v>
      </x:c>
      <x:c r="B24" s="0" t="s">
        <x:v>95</x:v>
      </x:c>
      <x:c r="C24" s="0" t="s">
        <x:v>21</x:v>
      </x:c>
      <x:c r="D24" s="0" t="s">
        <x:v>22</x:v>
      </x:c>
      <x:c r="E24" s="0">
        <x:v>1</x:v>
      </x:c>
      <x:c r="F24" s="0">
        <x:v>1</x:v>
      </x:c>
      <x:c r="G24" s="8">
        <x:v>300</x:v>
      </x:c>
      <x:c r="H24" s="8">
        <x:v>300</x:v>
      </x:c>
      <x:c r="I24" s="0" t="s">
        <x:v>23</x:v>
      </x:c>
      <x:c r="K24" s="8">
        <x:v>300</x:v>
      </x:c>
      <x:c r="L24" s="0" t="s">
        <x:v>24</x:v>
      </x:c>
      <x:c r="M24" s="0" t="s">
        <x:v>25</x:v>
      </x:c>
      <x:c r="N24" s="0" t="s">
        <x:v>26</x:v>
      </x:c>
      <x:c r="P24" s="0" t="s">
        <x:v>27</x:v>
      </x:c>
    </x:row>
    <x:row r="25" spans="1:20">
      <x:c r="A25" s="0">
        <x:v>24</x:v>
      </x:c>
      <x:c r="B25" s="0" t="s">
        <x:v>106</x:v>
      </x:c>
      <x:c r="C25" s="0" t="s">
        <x:v>21</x:v>
      </x:c>
      <x:c r="D25" s="0" t="s">
        <x:v>34</x:v>
      </x:c>
      <x:c r="E25" s="0">
        <x:v>1</x:v>
      </x:c>
      <x:c r="F25" s="0">
        <x:v>0.1</x:v>
      </x:c>
      <x:c r="G25" s="8">
        <x:v>2400</x:v>
      </x:c>
      <x:c r="H25" s="8">
        <x:v>240</x:v>
      </x:c>
      <x:c r="I25" s="0" t="s">
        <x:v>23</x:v>
      </x:c>
      <x:c r="K25" s="8">
        <x:v>240</x:v>
      </x:c>
      <x:c r="L25" s="0" t="s">
        <x:v>24</x:v>
      </x:c>
      <x:c r="M25" s="0" t="s">
        <x:v>25</x:v>
      </x:c>
      <x:c r="N25" s="0" t="s">
        <x:v>26</x:v>
      </x:c>
      <x:c r="P25" s="0" t="s">
        <x:v>27</x:v>
      </x:c>
    </x:row>
    <x:row r="26" spans="1:20">
      <x:c r="A26" s="0">
        <x:v>25</x:v>
      </x:c>
      <x:c r="B26" s="0" t="s">
        <x:v>72</x:v>
      </x:c>
      <x:c r="C26" s="0" t="s">
        <x:v>21</x:v>
      </x:c>
      <x:c r="D26" s="0" t="s">
        <x:v>22</x:v>
      </x:c>
      <x:c r="E26" s="0">
        <x:v>1</x:v>
      </x:c>
      <x:c r="F26" s="0">
        <x:v>3</x:v>
      </x:c>
      <x:c r="G26" s="8">
        <x:v>20</x:v>
      </x:c>
      <x:c r="H26" s="8">
        <x:v>60</x:v>
      </x:c>
      <x:c r="I26" s="0" t="s">
        <x:v>23</x:v>
      </x:c>
      <x:c r="K26" s="8">
        <x:v>60</x:v>
      </x:c>
      <x:c r="L26" s="0" t="s">
        <x:v>24</x:v>
      </x:c>
      <x:c r="M26" s="0" t="s">
        <x:v>25</x:v>
      </x:c>
      <x:c r="N26" s="0" t="s">
        <x:v>26</x:v>
      </x:c>
      <x:c r="P26" s="0" t="s">
        <x:v>27</x:v>
      </x:c>
    </x:row>
    <x:row r="27" spans="1:20">
      <x:c r="A27" s="0">
        <x:v>26</x:v>
      </x:c>
      <x:c r="B27" s="0" t="s">
        <x:v>107</x:v>
      </x:c>
      <x:c r="C27" s="0" t="s">
        <x:v>21</x:v>
      </x:c>
      <x:c r="D27" s="0" t="s">
        <x:v>34</x:v>
      </x:c>
      <x:c r="E27" s="0">
        <x:v>1</x:v>
      </x:c>
      <x:c r="F27" s="0">
        <x:v>0.1</x:v>
      </x:c>
      <x:c r="G27" s="8">
        <x:v>4358</x:v>
      </x:c>
      <x:c r="H27" s="8">
        <x:v>435.8</x:v>
      </x:c>
      <x:c r="I27" s="0" t="s">
        <x:v>23</x:v>
      </x:c>
      <x:c r="K27" s="8">
        <x:v>435.8</x:v>
      </x:c>
      <x:c r="L27" s="0" t="s">
        <x:v>24</x:v>
      </x:c>
      <x:c r="M27" s="0" t="s">
        <x:v>25</x:v>
      </x:c>
      <x:c r="N27" s="0" t="s">
        <x:v>26</x:v>
      </x:c>
      <x:c r="P27" s="0" t="s">
        <x:v>27</x:v>
      </x:c>
    </x:row>
    <x:row r="28" spans="1:20">
      <x:c r="A28" s="0">
        <x:v>27</x:v>
      </x:c>
      <x:c r="B28" s="0" t="s">
        <x:v>96</x:v>
      </x:c>
      <x:c r="C28" s="0" t="s">
        <x:v>21</x:v>
      </x:c>
      <x:c r="D28" s="0" t="s">
        <x:v>34</x:v>
      </x:c>
      <x:c r="E28" s="0">
        <x:v>1</x:v>
      </x:c>
      <x:c r="F28" s="0">
        <x:v>0.1</x:v>
      </x:c>
      <x:c r="G28" s="8">
        <x:v>3580</x:v>
      </x:c>
      <x:c r="H28" s="8">
        <x:v>358</x:v>
      </x:c>
      <x:c r="I28" s="0" t="s">
        <x:v>23</x:v>
      </x:c>
      <x:c r="K28" s="8">
        <x:v>358</x:v>
      </x:c>
      <x:c r="L28" s="0" t="s">
        <x:v>24</x:v>
      </x:c>
      <x:c r="M28" s="0" t="s">
        <x:v>25</x:v>
      </x:c>
      <x:c r="N28" s="0" t="s">
        <x:v>26</x:v>
      </x:c>
      <x:c r="P28" s="0" t="s">
        <x:v>27</x:v>
      </x:c>
    </x:row>
    <x:row r="29" spans="1:20">
      <x:c r="A29" s="0">
        <x:v>28</x:v>
      </x:c>
      <x:c r="B29" s="0" t="s">
        <x:v>108</x:v>
      </x:c>
      <x:c r="C29" s="0" t="s">
        <x:v>21</x:v>
      </x:c>
      <x:c r="D29" s="0" t="s">
        <x:v>34</x:v>
      </x:c>
      <x:c r="E29" s="0">
        <x:v>1</x:v>
      </x:c>
      <x:c r="F29" s="0">
        <x:v>0.1</x:v>
      </x:c>
      <x:c r="G29" s="8">
        <x:v>3584</x:v>
      </x:c>
      <x:c r="H29" s="8">
        <x:v>358.4</x:v>
      </x:c>
      <x:c r="I29" s="0" t="s">
        <x:v>23</x:v>
      </x:c>
      <x:c r="K29" s="8">
        <x:v>358.4</x:v>
      </x:c>
      <x:c r="L29" s="0" t="s">
        <x:v>24</x:v>
      </x:c>
      <x:c r="M29" s="0" t="s">
        <x:v>25</x:v>
      </x:c>
      <x:c r="N29" s="0" t="s">
        <x:v>26</x:v>
      </x:c>
      <x:c r="P29" s="0" t="s">
        <x:v>27</x:v>
      </x:c>
    </x:row>
    <x:row r="30" spans="1:20">
      <x:c r="A30" s="0">
        <x:v>29</x:v>
      </x:c>
      <x:c r="B30" s="0" t="s">
        <x:v>109</x:v>
      </x:c>
      <x:c r="C30" s="0" t="s">
        <x:v>21</x:v>
      </x:c>
      <x:c r="D30" s="0" t="s">
        <x:v>22</x:v>
      </x:c>
      <x:c r="E30" s="0">
        <x:v>1</x:v>
      </x:c>
      <x:c r="F30" s="0">
        <x:v>1</x:v>
      </x:c>
      <x:c r="G30" s="8">
        <x:v>88</x:v>
      </x:c>
      <x:c r="H30" s="8">
        <x:v>88</x:v>
      </x:c>
      <x:c r="I30" s="0" t="s">
        <x:v>23</x:v>
      </x:c>
      <x:c r="K30" s="8">
        <x:v>88</x:v>
      </x:c>
      <x:c r="L30" s="0" t="s">
        <x:v>24</x:v>
      </x:c>
      <x:c r="M30" s="0" t="s">
        <x:v>25</x:v>
      </x:c>
      <x:c r="N30" s="0" t="s">
        <x:v>26</x:v>
      </x:c>
      <x:c r="P30" s="0" t="s">
        <x:v>27</x:v>
      </x:c>
    </x:row>
    <x:row r="31" spans="1:20">
      <x:c r="A31" s="0">
        <x:v>30</x:v>
      </x:c>
      <x:c r="B31" s="0" t="s">
        <x:v>51</x:v>
      </x:c>
      <x:c r="C31" s="0" t="s">
        <x:v>21</x:v>
      </x:c>
      <x:c r="D31" s="0" t="s">
        <x:v>22</x:v>
      </x:c>
      <x:c r="E31" s="0">
        <x:v>1</x:v>
      </x:c>
      <x:c r="F31" s="0">
        <x:v>3</x:v>
      </x:c>
      <x:c r="G31" s="8">
        <x:v>60</x:v>
      </x:c>
      <x:c r="H31" s="8">
        <x:v>180</x:v>
      </x:c>
      <x:c r="I31" s="0" t="s">
        <x:v>23</x:v>
      </x:c>
      <x:c r="K31" s="8">
        <x:v>180</x:v>
      </x:c>
      <x:c r="L31" s="0" t="s">
        <x:v>24</x:v>
      </x:c>
      <x:c r="M31" s="0" t="s">
        <x:v>25</x:v>
      </x:c>
      <x:c r="N31" s="0" t="s">
        <x:v>26</x:v>
      </x:c>
      <x:c r="P31" s="0" t="s">
        <x:v>27</x:v>
      </x:c>
    </x:row>
    <x:row r="32" spans="1:20">
      <x:c r="A32" s="0">
        <x:v>31</x:v>
      </x:c>
      <x:c r="B32" s="0" t="s">
        <x:v>53</x:v>
      </x:c>
      <x:c r="C32" s="0" t="s">
        <x:v>21</x:v>
      </x:c>
      <x:c r="D32" s="0" t="s">
        <x:v>22</x:v>
      </x:c>
      <x:c r="E32" s="0">
        <x:v>1</x:v>
      </x:c>
      <x:c r="F32" s="0">
        <x:v>2</x:v>
      </x:c>
      <x:c r="G32" s="8">
        <x:v>40</x:v>
      </x:c>
      <x:c r="H32" s="8">
        <x:v>80</x:v>
      </x:c>
      <x:c r="I32" s="0" t="s">
        <x:v>23</x:v>
      </x:c>
      <x:c r="K32" s="8">
        <x:v>80</x:v>
      </x:c>
      <x:c r="L32" s="0" t="s">
        <x:v>24</x:v>
      </x:c>
      <x:c r="M32" s="0" t="s">
        <x:v>25</x:v>
      </x:c>
      <x:c r="N32" s="0" t="s">
        <x:v>26</x:v>
      </x:c>
      <x:c r="P32" s="0" t="s">
        <x:v>27</x:v>
      </x:c>
    </x:row>
    <x:row r="33" spans="1:20">
      <x:c r="A33" s="0">
        <x:v>32</x:v>
      </x:c>
      <x:c r="B33" s="0" t="s">
        <x:v>55</x:v>
      </x:c>
      <x:c r="C33" s="0" t="s">
        <x:v>21</x:v>
      </x:c>
      <x:c r="D33" s="0" t="s">
        <x:v>22</x:v>
      </x:c>
      <x:c r="E33" s="0">
        <x:v>1</x:v>
      </x:c>
      <x:c r="F33" s="0">
        <x:v>3</x:v>
      </x:c>
      <x:c r="G33" s="8">
        <x:v>339.53</x:v>
      </x:c>
      <x:c r="H33" s="8">
        <x:v>1018.58</x:v>
      </x:c>
      <x:c r="I33" s="0" t="s">
        <x:v>23</x:v>
      </x:c>
      <x:c r="K33" s="8">
        <x:v>1018.58</x:v>
      </x:c>
      <x:c r="L33" s="0" t="s">
        <x:v>24</x:v>
      </x:c>
      <x:c r="M33" s="0" t="s">
        <x:v>25</x:v>
      </x:c>
      <x:c r="N33" s="0" t="s">
        <x:v>26</x:v>
      </x:c>
      <x:c r="P33" s="0" t="s">
        <x:v>27</x:v>
      </x:c>
    </x:row>
    <x:row r="34" spans="1:20">
      <x:c r="A34" s="0">
        <x:v>33</x:v>
      </x:c>
      <x:c r="B34" s="0" t="s">
        <x:v>110</x:v>
      </x:c>
      <x:c r="C34" s="0" t="s">
        <x:v>21</x:v>
      </x:c>
      <x:c r="D34" s="0" t="s">
        <x:v>22</x:v>
      </x:c>
      <x:c r="E34" s="0">
        <x:v>1</x:v>
      </x:c>
      <x:c r="F34" s="0">
        <x:v>1</x:v>
      </x:c>
      <x:c r="G34" s="8">
        <x:v>1100</x:v>
      </x:c>
      <x:c r="H34" s="8">
        <x:v>1100</x:v>
      </x:c>
      <x:c r="I34" s="0" t="s">
        <x:v>23</x:v>
      </x:c>
      <x:c r="K34" s="8">
        <x:v>1100</x:v>
      </x:c>
      <x:c r="L34" s="0" t="s">
        <x:v>24</x:v>
      </x:c>
      <x:c r="M34" s="0" t="s">
        <x:v>25</x:v>
      </x:c>
      <x:c r="N34" s="0" t="s">
        <x:v>26</x:v>
      </x:c>
      <x:c r="P34" s="0" t="s">
        <x:v>27</x:v>
      </x:c>
    </x:row>
    <x:row r="35" spans="1:20">
      <x:c r="A35" s="0">
        <x:v>34</x:v>
      </x:c>
      <x:c r="B35" s="0" t="s">
        <x:v>58</x:v>
      </x:c>
      <x:c r="C35" s="0" t="s">
        <x:v>21</x:v>
      </x:c>
      <x:c r="D35" s="0" t="s">
        <x:v>22</x:v>
      </x:c>
      <x:c r="E35" s="0">
        <x:v>1</x:v>
      </x:c>
      <x:c r="F35" s="0">
        <x:v>3</x:v>
      </x:c>
      <x:c r="G35" s="8">
        <x:v>280</x:v>
      </x:c>
      <x:c r="H35" s="8">
        <x:v>840</x:v>
      </x:c>
      <x:c r="I35" s="0" t="s">
        <x:v>23</x:v>
      </x:c>
      <x:c r="K35" s="8">
        <x:v>840</x:v>
      </x:c>
      <x:c r="L35" s="0" t="s">
        <x:v>24</x:v>
      </x:c>
      <x:c r="M35" s="0" t="s">
        <x:v>25</x:v>
      </x:c>
      <x:c r="N35" s="0" t="s">
        <x:v>26</x:v>
      </x:c>
      <x:c r="P35" s="0" t="s">
        <x:v>27</x:v>
      </x:c>
    </x:row>
    <x:row r="36" spans="1:20">
      <x:c r="A36" s="0">
        <x:v>35</x:v>
      </x:c>
      <x:c r="B36" s="0" t="s">
        <x:v>111</x:v>
      </x:c>
      <x:c r="C36" s="0" t="s">
        <x:v>21</x:v>
      </x:c>
      <x:c r="D36" s="0" t="s">
        <x:v>34</x:v>
      </x:c>
      <x:c r="E36" s="0">
        <x:v>1</x:v>
      </x:c>
      <x:c r="F36" s="0">
        <x:v>0.1</x:v>
      </x:c>
      <x:c r="G36" s="8">
        <x:v>2700</x:v>
      </x:c>
      <x:c r="H36" s="8">
        <x:v>270</x:v>
      </x:c>
      <x:c r="I36" s="0" t="s">
        <x:v>23</x:v>
      </x:c>
      <x:c r="K36" s="8">
        <x:v>270</x:v>
      </x:c>
      <x:c r="L36" s="0" t="s">
        <x:v>24</x:v>
      </x:c>
      <x:c r="M36" s="0" t="s">
        <x:v>25</x:v>
      </x:c>
      <x:c r="N36" s="0" t="s">
        <x:v>26</x:v>
      </x:c>
      <x:c r="P36" s="0" t="s">
        <x:v>27</x:v>
      </x:c>
    </x:row>
    <x:row r="37" spans="1:20">
      <x:c r="A37" s="0">
        <x:v>36</x:v>
      </x:c>
      <x:c r="B37" s="0" t="s">
        <x:v>60</x:v>
      </x:c>
      <x:c r="C37" s="0" t="s">
        <x:v>21</x:v>
      </x:c>
      <x:c r="D37" s="0" t="s">
        <x:v>22</x:v>
      </x:c>
      <x:c r="E37" s="0">
        <x:v>1</x:v>
      </x:c>
      <x:c r="F37" s="0">
        <x:v>1</x:v>
      </x:c>
      <x:c r="G37" s="8">
        <x:v>136.19</x:v>
      </x:c>
      <x:c r="H37" s="8">
        <x:v>136.19</x:v>
      </x:c>
      <x:c r="I37" s="0" t="s">
        <x:v>23</x:v>
      </x:c>
      <x:c r="K37" s="8">
        <x:v>136.19</x:v>
      </x:c>
      <x:c r="L37" s="0" t="s">
        <x:v>24</x:v>
      </x:c>
      <x:c r="M37" s="0" t="s">
        <x:v>25</x:v>
      </x:c>
      <x:c r="N37" s="0" t="s">
        <x:v>26</x:v>
      </x:c>
      <x:c r="P37" s="0" t="s">
        <x:v>27</x:v>
      </x:c>
    </x:row>
    <x:row r="38" spans="1:20">
      <x:c r="B38" s="9"/>
      <x:c r="C38" s="9"/>
      <x:c r="D38" s="9"/>
      <x:c r="E38" s="9"/>
      <x:c r="F38" s="9"/>
      <x:c r="G38" s="9"/>
      <x:c r="H38" s="10">
        <x:f>SUM(H2:H37)</x:f>
      </x:c>
      <x:c r="I38" s="9"/>
    </x:row>
    <x:row r="39" spans="1:20">
      <x:c r="B39" s="9"/>
      <x:c r="C39" s="9"/>
      <x:c r="D39" s="9"/>
      <x:c r="E39" s="9"/>
      <x:c r="F39" s="9"/>
      <x:c r="G39" s="9"/>
      <x:c r="H39" s="9"/>
      <x:c r="I39" s="9"/>
    </x:row>
    <x:row r="40" spans="1:20">
      <x:c r="B40" s="11" t="s">
        <x:v>163</x:v>
      </x:c>
      <x:c r="C40" s="12"/>
      <x:c r="D40" s="12"/>
      <x:c r="E40" s="12"/>
      <x:c r="F40" s="12"/>
      <x:c r="G40" s="12"/>
      <x:c r="H40" s="12">
        <x:f>SUM(H41:H43)</x:f>
      </x:c>
      <x:c r="I40" s="13" t="s">
        <x:v>164</x:v>
      </x:c>
    </x:row>
    <x:row r="41" spans="1:20">
      <x:c r="B41" s="12" t="s">
        <x:v>165</x:v>
      </x:c>
      <x:c r="C41" s="12"/>
      <x:c r="D41" s="12"/>
      <x:c r="E41" s="12"/>
      <x:c r="F41" s="14">
        <x:f>F3+F4+F6+F7+F8+F17+F18+F21+F24+F35+F37</x:f>
      </x:c>
      <x:c r="G41" s="14">
        <x:f>G3+G4+G6+G7+G8+G17+G18+G21+G24+G35+G37</x:f>
      </x:c>
      <x:c r="H41" s="14">
        <x:f>H3+H4+H6+H7+H8+H17+H18+H21+H24+H35+H37</x:f>
      </x:c>
      <x:c r="I41" s="13"/>
    </x:row>
    <x:row r="42" spans="1:20">
      <x:c r="B42" s="12" t="s">
        <x:v>166</x:v>
      </x:c>
      <x:c r="C42" s="12"/>
      <x:c r="D42" s="12"/>
      <x:c r="E42" s="12"/>
      <x:c r="F42" s="14"/>
      <x:c r="G42" s="14"/>
      <x:c r="H42" s="14"/>
      <x:c r="I42" s="13"/>
    </x:row>
    <x:row r="43" spans="1:20">
      <x:c r="B43" s="12" t="s">
        <x:v>167</x:v>
      </x:c>
      <x:c r="C43" s="12"/>
      <x:c r="D43" s="12"/>
      <x:c r="E43" s="12"/>
      <x:c r="F43" s="14">
        <x:f>F9+F26+F31+F32</x:f>
      </x:c>
      <x:c r="G43" s="14">
        <x:f>G9+G26+G31+G32</x:f>
      </x:c>
      <x:c r="H43" s="14">
        <x:f>H9+H26+H31+H32</x:f>
      </x:c>
      <x:c r="I43" s="13"/>
    </x:row>
    <x:row r="44" spans="1:20">
      <x:c r="B44" s="11" t="s">
        <x:v>168</x:v>
      </x:c>
      <x:c r="C44" s="12"/>
      <x:c r="D44" s="12"/>
      <x:c r="E44" s="12"/>
      <x:c r="F44" s="12"/>
      <x:c r="G44" s="12"/>
      <x:c r="H44" s="12">
        <x:f>SUM(H45:H51)</x:f>
      </x:c>
      <x:c r="I44" s="13" t="s">
        <x:v>169</x:v>
      </x:c>
    </x:row>
    <x:row r="45" spans="1:20">
      <x:c r="B45" s="12" t="s">
        <x:v>170</x:v>
      </x:c>
      <x:c r="C45" s="12"/>
      <x:c r="D45" s="12"/>
      <x:c r="E45" s="12"/>
      <x:c r="F45" s="14">
        <x:f>F10+F11+F12+F13+F14</x:f>
      </x:c>
      <x:c r="G45" s="14">
        <x:f>G10+G11+G12+G13+G14</x:f>
      </x:c>
      <x:c r="H45" s="14">
        <x:f>H10+H11+H12+H13+H14</x:f>
      </x:c>
      <x:c r="I45" s="13"/>
    </x:row>
    <x:row r="46" spans="1:20">
      <x:c r="B46" s="12" t="s">
        <x:v>171</x:v>
      </x:c>
      <x:c r="C46" s="12"/>
      <x:c r="D46" s="12"/>
      <x:c r="E46" s="12"/>
      <x:c r="F46" s="14">
        <x:f>F15+F16</x:f>
      </x:c>
      <x:c r="G46" s="14">
        <x:f>G15+G16</x:f>
      </x:c>
      <x:c r="H46" s="14">
        <x:f>H15+H16</x:f>
      </x:c>
      <x:c r="I46" s="13"/>
    </x:row>
    <x:row r="47" spans="1:20">
      <x:c r="B47" s="12" t="s">
        <x:v>172</x:v>
      </x:c>
      <x:c r="C47" s="12"/>
      <x:c r="D47" s="12"/>
      <x:c r="E47" s="12"/>
      <x:c r="F47" s="14"/>
      <x:c r="G47" s="14"/>
      <x:c r="H47" s="14"/>
      <x:c r="I47" s="13"/>
    </x:row>
    <x:row r="48" spans="1:20">
      <x:c r="B48" s="12" t="s">
        <x:v>173</x:v>
      </x:c>
      <x:c r="C48" s="12"/>
      <x:c r="D48" s="12"/>
      <x:c r="E48" s="12"/>
      <x:c r="F48" s="14">
        <x:f>F2+F5+F22+F23+F25+F27+F28+F29+F36</x:f>
      </x:c>
      <x:c r="G48" s="14">
        <x:f>G2+G5+G22+G23+G25+G27+G28+G29+G36</x:f>
      </x:c>
      <x:c r="H48" s="14">
        <x:f>H2+H5+H22+H23+H25+H27+H28+H29+H36</x:f>
      </x:c>
      <x:c r="I48" s="13"/>
    </x:row>
    <x:row r="49" spans="1:20">
      <x:c r="B49" s="12" t="s">
        <x:v>174</x:v>
      </x:c>
      <x:c r="C49" s="12"/>
      <x:c r="D49" s="12"/>
      <x:c r="E49" s="12"/>
      <x:c r="F49" s="14">
        <x:f>F30+F34</x:f>
      </x:c>
      <x:c r="G49" s="14">
        <x:f>G30+G34</x:f>
      </x:c>
      <x:c r="H49" s="14">
        <x:f>H30+H34</x:f>
      </x:c>
      <x:c r="I49" s="13"/>
    </x:row>
    <x:row r="50" spans="1:20">
      <x:c r="B50" s="12" t="s">
        <x:v>70</x:v>
      </x:c>
      <x:c r="C50" s="12"/>
      <x:c r="D50" s="12"/>
      <x:c r="E50" s="12"/>
      <x:c r="F50" s="14"/>
      <x:c r="G50" s="14"/>
      <x:c r="H50" s="14"/>
      <x:c r="I50" s="13"/>
    </x:row>
    <x:row r="51" spans="1:20">
      <x:c r="B51" s="12" t="s">
        <x:v>175</x:v>
      </x:c>
      <x:c r="C51" s="12"/>
      <x:c r="D51" s="12"/>
      <x:c r="E51" s="12"/>
      <x:c r="F51" s="14"/>
      <x:c r="G51" s="14"/>
      <x:c r="H51" s="14"/>
      <x:c r="I51" s="13"/>
    </x:row>
    <x:row r="52" spans="1:20">
      <x:c r="B52" s="11" t="s">
        <x:v>176</x:v>
      </x:c>
      <x:c r="C52" s="12"/>
      <x:c r="D52" s="12"/>
      <x:c r="E52" s="12"/>
      <x:c r="F52" s="12"/>
      <x:c r="G52" s="12"/>
      <x:c r="H52" s="12">
        <x:f>SUM(H53:H58)</x:f>
      </x:c>
      <x:c r="I52" s="13" t="s">
        <x:v>177</x:v>
      </x:c>
    </x:row>
    <x:row r="53" spans="1:20">
      <x:c r="B53" s="12" t="s">
        <x:v>178</x:v>
      </x:c>
      <x:c r="C53" s="12"/>
      <x:c r="D53" s="12"/>
      <x:c r="E53" s="12"/>
      <x:c r="F53" s="14"/>
      <x:c r="G53" s="14"/>
      <x:c r="H53" s="14"/>
      <x:c r="I53" s="13"/>
    </x:row>
    <x:row r="54" spans="1:20">
      <x:c r="B54" s="12" t="s">
        <x:v>179</x:v>
      </x:c>
      <x:c r="C54" s="12"/>
      <x:c r="D54" s="12"/>
      <x:c r="E54" s="12"/>
      <x:c r="F54" s="14">
        <x:f>F33</x:f>
      </x:c>
      <x:c r="G54" s="14">
        <x:f>G33</x:f>
      </x:c>
      <x:c r="H54" s="14">
        <x:f>H33</x:f>
      </x:c>
      <x:c r="I54" s="13"/>
    </x:row>
    <x:row r="55" spans="1:20">
      <x:c r="B55" s="12" t="s">
        <x:v>54</x:v>
      </x:c>
      <x:c r="C55" s="12"/>
      <x:c r="D55" s="12"/>
      <x:c r="E55" s="12"/>
      <x:c r="F55" s="14"/>
      <x:c r="G55" s="14"/>
      <x:c r="H55" s="14"/>
      <x:c r="I55" s="13"/>
    </x:row>
    <x:row r="56" spans="1:20">
      <x:c r="B56" s="12" t="s">
        <x:v>180</x:v>
      </x:c>
      <x:c r="C56" s="12"/>
      <x:c r="D56" s="12"/>
      <x:c r="E56" s="12"/>
      <x:c r="F56" s="14"/>
      <x:c r="G56" s="14"/>
      <x:c r="H56" s="14"/>
      <x:c r="I56" s="13"/>
    </x:row>
    <x:row r="57" spans="1:20">
      <x:c r="B57" s="12" t="s">
        <x:v>181</x:v>
      </x:c>
      <x:c r="C57" s="12"/>
      <x:c r="D57" s="12"/>
      <x:c r="E57" s="12"/>
      <x:c r="F57" s="14">
        <x:f>F20</x:f>
      </x:c>
      <x:c r="G57" s="14">
        <x:f>G20</x:f>
      </x:c>
      <x:c r="H57" s="14">
        <x:f>H20</x:f>
      </x:c>
      <x:c r="I57" s="13"/>
    </x:row>
    <x:row r="58" spans="1:20">
      <x:c r="B58" s="12" t="s">
        <x:v>182</x:v>
      </x:c>
      <x:c r="C58" s="12"/>
      <x:c r="D58" s="12"/>
      <x:c r="E58" s="12"/>
      <x:c r="F58" s="14">
        <x:f>F19</x:f>
      </x:c>
      <x:c r="G58" s="14">
        <x:f>G19</x:f>
      </x:c>
      <x:c r="H58" s="14">
        <x:f>H19</x:f>
      </x:c>
      <x:c r="I58" s="13"/>
    </x:row>
    <x:row r="59" spans="1:20">
      <x:c r="B59" s="11" t="s">
        <x:v>183</x:v>
      </x:c>
      <x:c r="C59" s="12"/>
      <x:c r="D59" s="12"/>
      <x:c r="E59" s="12"/>
      <x:c r="F59" s="12"/>
      <x:c r="G59" s="12"/>
      <x:c r="H59" s="12">
        <x:f>SUM(H60:H61)</x:f>
      </x:c>
      <x:c r="I59" s="13"/>
    </x:row>
    <x:row r="60" spans="1:20">
      <x:c r="B60" s="12" t="s">
        <x:v>184</x:v>
      </x:c>
      <x:c r="C60" s="12"/>
      <x:c r="D60" s="12"/>
      <x:c r="E60" s="12"/>
      <x:c r="F60" s="14"/>
      <x:c r="G60" s="14"/>
      <x:c r="H60" s="14"/>
      <x:c r="I60" s="13"/>
    </x:row>
    <x:row r="61" spans="1:20">
      <x:c r="B61" s="12" t="s">
        <x:v>185</x:v>
      </x:c>
      <x:c r="C61" s="12"/>
      <x:c r="D61" s="12"/>
      <x:c r="E61" s="12"/>
      <x:c r="F61" s="14"/>
      <x:c r="G61" s="14"/>
      <x:c r="H61" s="14"/>
      <x:c r="I61" s="15"/>
    </x:row>
    <x:row r="62" spans="1:20">
      <x:c r="B62" s="16"/>
      <x:c r="C62" s="16"/>
      <x:c r="D62" s="16"/>
      <x:c r="E62" s="16"/>
      <x:c r="F62" s="16"/>
      <x:c r="G62" s="16"/>
      <x:c r="H62" s="16">
        <x:f>H40+H44+H52+H59</x:f>
      </x:c>
      <x:c r="I62" s="15"/>
    </x:row>
    <x:row r="63" spans="1:20">
      <x:c r="H63" s="17">
        <x:f>H62 - H38</x:f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E04073E-0CE3-A047-B33C-9BD5D746E071}" mc:Ignorable="x14ac xr xr2 xr3">
  <x:sheetPr>
    <x:outlinePr summaryBelow="1" summaryRight="1"/>
  </x:sheetPr>
  <x:dimension ref="A1:T54"/>
  <x:sheetViews>
    <x:sheetView topLeftCell="A25" zoomScale="116" zoomScaleNormal="116" workbookViewId="0">
      <x:selection activeCell="A29" sqref="A29"/>
    </x:sheetView>
  </x:sheetViews>
  <x:sheetFormatPr defaultColWidth="11.210625" defaultRowHeight="15.75"/>
  <x:cols>
    <x:col min="1" max="1" width="11.210625" style="0" customWidth="1"/>
    <x:col min="2" max="2" width="27" style="0" customWidth="1"/>
    <x:col min="3" max="3" width="3.375" style="0" customWidth="1"/>
    <x:col min="4" max="4" width="2.125" style="0" customWidth="1"/>
    <x:col min="5" max="5" width="1.875" style="0" customWidth="1"/>
    <x:col min="6" max="6" width="9.625" style="0" customWidth="1"/>
  </x:cols>
  <x:sheetData>
    <x:row r="1" spans="1:2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</x:row>
    <x:row r="2" spans="1:20">
      <x:c r="A2" s="0">
        <x:v>1</x:v>
      </x:c>
      <x:c r="B2" s="0" t="s">
        <x:v>112</x:v>
      </x:c>
      <x:c r="C2" s="0" t="s">
        <x:v>21</x:v>
      </x:c>
      <x:c r="D2" s="0" t="s">
        <x:v>22</x:v>
      </x:c>
      <x:c r="E2" s="0">
        <x:v>1</x:v>
      </x:c>
      <x:c r="F2" s="0">
        <x:v>1</x:v>
      </x:c>
      <x:c r="G2" s="8">
        <x:v>270</x:v>
      </x:c>
      <x:c r="H2" s="8">
        <x:v>270</x:v>
      </x:c>
      <x:c r="I2" s="0" t="s">
        <x:v>23</x:v>
      </x:c>
      <x:c r="K2" s="8">
        <x:v>270</x:v>
      </x:c>
      <x:c r="L2" s="0" t="s">
        <x:v>24</x:v>
      </x:c>
      <x:c r="M2" s="0" t="s">
        <x:v>25</x:v>
      </x:c>
      <x:c r="N2" s="0" t="s">
        <x:v>26</x:v>
      </x:c>
      <x:c r="P2" s="0" t="s">
        <x:v>27</x:v>
      </x:c>
    </x:row>
    <x:row r="3" spans="1:20">
      <x:c r="A3" s="0">
        <x:v>2</x:v>
      </x:c>
      <x:c r="B3" s="0" t="s">
        <x:v>61</x:v>
      </x:c>
      <x:c r="C3" s="0" t="s">
        <x:v>21</x:v>
      </x:c>
      <x:c r="D3" s="0" t="s">
        <x:v>22</x:v>
      </x:c>
      <x:c r="E3" s="0">
        <x:v>1</x:v>
      </x:c>
      <x:c r="F3" s="0">
        <x:v>3</x:v>
      </x:c>
      <x:c r="G3" s="8">
        <x:v>250</x:v>
      </x:c>
      <x:c r="H3" s="8">
        <x:v>750</x:v>
      </x:c>
      <x:c r="I3" s="0" t="s">
        <x:v>23</x:v>
      </x:c>
      <x:c r="K3" s="8">
        <x:v>750</x:v>
      </x:c>
      <x:c r="L3" s="0" t="s">
        <x:v>24</x:v>
      </x:c>
      <x:c r="M3" s="0" t="s">
        <x:v>25</x:v>
      </x:c>
      <x:c r="N3" s="0" t="s">
        <x:v>26</x:v>
      </x:c>
      <x:c r="P3" s="0" t="s">
        <x:v>27</x:v>
      </x:c>
    </x:row>
    <x:row r="4" spans="1:20">
      <x:c r="A4" s="0">
        <x:v>3</x:v>
      </x:c>
      <x:c r="B4" s="0" t="s">
        <x:v>20</x:v>
      </x:c>
      <x:c r="C4" s="0" t="s">
        <x:v>21</x:v>
      </x:c>
      <x:c r="D4" s="0" t="s">
        <x:v>22</x:v>
      </x:c>
      <x:c r="E4" s="0">
        <x:v>1</x:v>
      </x:c>
      <x:c r="F4" s="0">
        <x:v>1</x:v>
      </x:c>
      <x:c r="G4" s="8">
        <x:v>150</x:v>
      </x:c>
      <x:c r="H4" s="8">
        <x:v>150</x:v>
      </x:c>
      <x:c r="I4" s="0" t="s">
        <x:v>23</x:v>
      </x:c>
      <x:c r="K4" s="8">
        <x:v>150</x:v>
      </x:c>
      <x:c r="L4" s="0" t="s">
        <x:v>24</x:v>
      </x:c>
      <x:c r="M4" s="0" t="s">
        <x:v>25</x:v>
      </x:c>
      <x:c r="N4" s="0" t="s">
        <x:v>26</x:v>
      </x:c>
      <x:c r="P4" s="0" t="s">
        <x:v>27</x:v>
      </x:c>
    </x:row>
    <x:row r="5" spans="1:20">
      <x:c r="A5" s="0">
        <x:v>4</x:v>
      </x:c>
      <x:c r="B5" s="0" t="s">
        <x:v>113</x:v>
      </x:c>
      <x:c r="C5" s="0" t="s">
        <x:v>21</x:v>
      </x:c>
      <x:c r="D5" s="0" t="s">
        <x:v>22</x:v>
      </x:c>
      <x:c r="E5" s="0">
        <x:v>1</x:v>
      </x:c>
      <x:c r="F5" s="0">
        <x:v>2</x:v>
      </x:c>
      <x:c r="G5" s="8">
        <x:v>300</x:v>
      </x:c>
      <x:c r="H5" s="8">
        <x:v>600</x:v>
      </x:c>
      <x:c r="I5" s="0" t="s">
        <x:v>23</x:v>
      </x:c>
      <x:c r="K5" s="8">
        <x:v>600</x:v>
      </x:c>
      <x:c r="L5" s="0" t="s">
        <x:v>24</x:v>
      </x:c>
      <x:c r="M5" s="0" t="s">
        <x:v>25</x:v>
      </x:c>
      <x:c r="N5" s="0" t="s">
        <x:v>26</x:v>
      </x:c>
      <x:c r="P5" s="0" t="s">
        <x:v>27</x:v>
      </x:c>
    </x:row>
    <x:row r="6" spans="1:20">
      <x:c r="A6" s="0">
        <x:v>5</x:v>
      </x:c>
      <x:c r="B6" s="0" t="s">
        <x:v>28</x:v>
      </x:c>
      <x:c r="C6" s="0" t="s">
        <x:v>21</x:v>
      </x:c>
      <x:c r="D6" s="0" t="s">
        <x:v>22</x:v>
      </x:c>
      <x:c r="E6" s="0">
        <x:v>1</x:v>
      </x:c>
      <x:c r="F6" s="0">
        <x:v>2</x:v>
      </x:c>
      <x:c r="G6" s="8">
        <x:v>250</x:v>
      </x:c>
      <x:c r="H6" s="8">
        <x:v>500</x:v>
      </x:c>
      <x:c r="I6" s="0" t="s">
        <x:v>23</x:v>
      </x:c>
      <x:c r="K6" s="8">
        <x:v>500</x:v>
      </x:c>
      <x:c r="L6" s="0" t="s">
        <x:v>24</x:v>
      </x:c>
      <x:c r="M6" s="0" t="s">
        <x:v>25</x:v>
      </x:c>
      <x:c r="N6" s="0" t="s">
        <x:v>26</x:v>
      </x:c>
      <x:c r="P6" s="0" t="s">
        <x:v>27</x:v>
      </x:c>
    </x:row>
    <x:row r="7" spans="1:20">
      <x:c r="A7" s="0">
        <x:v>6</x:v>
      </x:c>
      <x:c r="B7" s="0" t="s">
        <x:v>29</x:v>
      </x:c>
      <x:c r="C7" s="0" t="s">
        <x:v>21</x:v>
      </x:c>
      <x:c r="D7" s="0" t="s">
        <x:v>22</x:v>
      </x:c>
      <x:c r="E7" s="0">
        <x:v>1</x:v>
      </x:c>
      <x:c r="F7" s="0">
        <x:v>4</x:v>
      </x:c>
      <x:c r="G7" s="8">
        <x:v>231.25</x:v>
      </x:c>
      <x:c r="H7" s="8">
        <x:v>925</x:v>
      </x:c>
      <x:c r="I7" s="0" t="s">
        <x:v>23</x:v>
      </x:c>
      <x:c r="K7" s="8">
        <x:v>925</x:v>
      </x:c>
      <x:c r="L7" s="0" t="s">
        <x:v>24</x:v>
      </x:c>
      <x:c r="M7" s="0" t="s">
        <x:v>25</x:v>
      </x:c>
      <x:c r="N7" s="0" t="s">
        <x:v>26</x:v>
      </x:c>
      <x:c r="P7" s="0" t="s">
        <x:v>27</x:v>
      </x:c>
    </x:row>
    <x:row r="8" spans="1:20">
      <x:c r="A8" s="0">
        <x:v>7</x:v>
      </x:c>
      <x:c r="B8" s="0" t="s">
        <x:v>30</x:v>
      </x:c>
      <x:c r="C8" s="0" t="s">
        <x:v>21</x:v>
      </x:c>
      <x:c r="D8" s="0" t="s">
        <x:v>22</x:v>
      </x:c>
      <x:c r="E8" s="0">
        <x:v>1</x:v>
      </x:c>
      <x:c r="F8" s="0">
        <x:v>4</x:v>
      </x:c>
      <x:c r="G8" s="8">
        <x:v>321.75</x:v>
      </x:c>
      <x:c r="H8" s="8">
        <x:v>1287</x:v>
      </x:c>
      <x:c r="I8" s="0" t="s">
        <x:v>23</x:v>
      </x:c>
      <x:c r="K8" s="8">
        <x:v>1287</x:v>
      </x:c>
      <x:c r="L8" s="0" t="s">
        <x:v>24</x:v>
      </x:c>
      <x:c r="M8" s="0" t="s">
        <x:v>25</x:v>
      </x:c>
      <x:c r="N8" s="0" t="s">
        <x:v>26</x:v>
      </x:c>
      <x:c r="P8" s="0" t="s">
        <x:v>27</x:v>
      </x:c>
    </x:row>
    <x:row r="9" spans="1:20">
      <x:c r="A9" s="0">
        <x:v>8</x:v>
      </x:c>
      <x:c r="B9" s="0" t="s">
        <x:v>31</x:v>
      </x:c>
      <x:c r="C9" s="0" t="s">
        <x:v>21</x:v>
      </x:c>
      <x:c r="D9" s="0" t="s">
        <x:v>22</x:v>
      </x:c>
      <x:c r="E9" s="0">
        <x:v>1</x:v>
      </x:c>
      <x:c r="F9" s="0">
        <x:v>1</x:v>
      </x:c>
      <x:c r="G9" s="8">
        <x:v>100</x:v>
      </x:c>
      <x:c r="H9" s="8">
        <x:v>100</x:v>
      </x:c>
      <x:c r="I9" s="0" t="s">
        <x:v>23</x:v>
      </x:c>
      <x:c r="K9" s="8">
        <x:v>100</x:v>
      </x:c>
      <x:c r="L9" s="0" t="s">
        <x:v>24</x:v>
      </x:c>
      <x:c r="M9" s="0" t="s">
        <x:v>25</x:v>
      </x:c>
      <x:c r="N9" s="0" t="s">
        <x:v>26</x:v>
      </x:c>
      <x:c r="P9" s="0" t="s">
        <x:v>27</x:v>
      </x:c>
    </x:row>
    <x:row r="10" spans="1:20">
      <x:c r="A10" s="0">
        <x:v>9</x:v>
      </x:c>
      <x:c r="B10" s="0" t="s">
        <x:v>114</x:v>
      </x:c>
      <x:c r="C10" s="0" t="s">
        <x:v>21</x:v>
      </x:c>
      <x:c r="D10" s="0" t="s">
        <x:v>34</x:v>
      </x:c>
      <x:c r="E10" s="0">
        <x:v>1</x:v>
      </x:c>
      <x:c r="F10" s="0">
        <x:v>0.2</x:v>
      </x:c>
      <x:c r="G10" s="8">
        <x:v>2380</x:v>
      </x:c>
      <x:c r="H10" s="8">
        <x:v>476</x:v>
      </x:c>
      <x:c r="I10" s="0" t="s">
        <x:v>23</x:v>
      </x:c>
      <x:c r="K10" s="8">
        <x:v>476</x:v>
      </x:c>
      <x:c r="L10" s="0" t="s">
        <x:v>24</x:v>
      </x:c>
      <x:c r="M10" s="0" t="s">
        <x:v>25</x:v>
      </x:c>
      <x:c r="N10" s="0" t="s">
        <x:v>26</x:v>
      </x:c>
      <x:c r="P10" s="0" t="s">
        <x:v>27</x:v>
      </x:c>
    </x:row>
    <x:row r="11" spans="1:20">
      <x:c r="A11" s="0">
        <x:v>10</x:v>
      </x:c>
      <x:c r="B11" s="0" t="s">
        <x:v>39</x:v>
      </x:c>
      <x:c r="C11" s="0" t="s">
        <x:v>21</x:v>
      </x:c>
      <x:c r="D11" s="0" t="s">
        <x:v>22</x:v>
      </x:c>
      <x:c r="E11" s="0">
        <x:v>1</x:v>
      </x:c>
      <x:c r="F11" s="0">
        <x:v>4</x:v>
      </x:c>
      <x:c r="G11" s="8">
        <x:v>240.63</x:v>
      </x:c>
      <x:c r="H11" s="8">
        <x:v>962.5</x:v>
      </x:c>
      <x:c r="I11" s="0" t="s">
        <x:v>23</x:v>
      </x:c>
      <x:c r="K11" s="8">
        <x:v>962.5</x:v>
      </x:c>
      <x:c r="L11" s="0" t="s">
        <x:v>24</x:v>
      </x:c>
      <x:c r="M11" s="0" t="s">
        <x:v>25</x:v>
      </x:c>
      <x:c r="N11" s="0" t="s">
        <x:v>26</x:v>
      </x:c>
      <x:c r="P11" s="0" t="s">
        <x:v>27</x:v>
      </x:c>
    </x:row>
    <x:row r="12" spans="1:20">
      <x:c r="A12" s="0">
        <x:v>11</x:v>
      </x:c>
      <x:c r="B12" s="0" t="s">
        <x:v>41</x:v>
      </x:c>
      <x:c r="C12" s="0" t="s">
        <x:v>21</x:v>
      </x:c>
      <x:c r="D12" s="0" t="s">
        <x:v>22</x:v>
      </x:c>
      <x:c r="E12" s="0">
        <x:v>1</x:v>
      </x:c>
      <x:c r="F12" s="0">
        <x:v>1</x:v>
      </x:c>
      <x:c r="G12" s="8">
        <x:v>300</x:v>
      </x:c>
      <x:c r="H12" s="8">
        <x:v>300</x:v>
      </x:c>
      <x:c r="I12" s="0" t="s">
        <x:v>23</x:v>
      </x:c>
      <x:c r="K12" s="8">
        <x:v>300</x:v>
      </x:c>
      <x:c r="L12" s="0" t="s">
        <x:v>24</x:v>
      </x:c>
      <x:c r="M12" s="0" t="s">
        <x:v>25</x:v>
      </x:c>
      <x:c r="N12" s="0" t="s">
        <x:v>26</x:v>
      </x:c>
      <x:c r="P12" s="0" t="s">
        <x:v>27</x:v>
      </x:c>
    </x:row>
    <x:row r="13" spans="1:20">
      <x:c r="A13" s="0">
        <x:v>12</x:v>
      </x:c>
      <x:c r="B13" s="0" t="s">
        <x:v>44</x:v>
      </x:c>
      <x:c r="C13" s="0" t="s">
        <x:v>21</x:v>
      </x:c>
      <x:c r="D13" s="0" t="s">
        <x:v>22</x:v>
      </x:c>
      <x:c r="E13" s="0">
        <x:v>1</x:v>
      </x:c>
      <x:c r="F13" s="0">
        <x:v>2</x:v>
      </x:c>
      <x:c r="G13" s="8">
        <x:v>85</x:v>
      </x:c>
      <x:c r="H13" s="8">
        <x:v>170</x:v>
      </x:c>
      <x:c r="I13" s="0" t="s">
        <x:v>23</x:v>
      </x:c>
      <x:c r="K13" s="8">
        <x:v>170</x:v>
      </x:c>
      <x:c r="L13" s="0" t="s">
        <x:v>24</x:v>
      </x:c>
      <x:c r="M13" s="0" t="s">
        <x:v>25</x:v>
      </x:c>
      <x:c r="N13" s="0" t="s">
        <x:v>26</x:v>
      </x:c>
      <x:c r="P13" s="0" t="s">
        <x:v>27</x:v>
      </x:c>
    </x:row>
    <x:row r="14" spans="1:20">
      <x:c r="A14" s="0">
        <x:v>13</x:v>
      </x:c>
      <x:c r="B14" s="0" t="s">
        <x:v>45</x:v>
      </x:c>
      <x:c r="C14" s="0" t="s">
        <x:v>21</x:v>
      </x:c>
      <x:c r="D14" s="0" t="s">
        <x:v>22</x:v>
      </x:c>
      <x:c r="E14" s="0">
        <x:v>1</x:v>
      </x:c>
      <x:c r="F14" s="0">
        <x:v>1</x:v>
      </x:c>
      <x:c r="G14" s="8">
        <x:v>110</x:v>
      </x:c>
      <x:c r="H14" s="8">
        <x:v>110</x:v>
      </x:c>
      <x:c r="I14" s="0" t="s">
        <x:v>23</x:v>
      </x:c>
      <x:c r="K14" s="8">
        <x:v>110</x:v>
      </x:c>
      <x:c r="L14" s="0" t="s">
        <x:v>24</x:v>
      </x:c>
      <x:c r="M14" s="0" t="s">
        <x:v>25</x:v>
      </x:c>
      <x:c r="N14" s="0" t="s">
        <x:v>26</x:v>
      </x:c>
      <x:c r="P14" s="0" t="s">
        <x:v>27</x:v>
      </x:c>
    </x:row>
    <x:row r="15" spans="1:20">
      <x:c r="A15" s="0">
        <x:v>14</x:v>
      </x:c>
      <x:c r="B15" s="0" t="s">
        <x:v>46</x:v>
      </x:c>
      <x:c r="C15" s="0" t="s">
        <x:v>21</x:v>
      </x:c>
      <x:c r="D15" s="0" t="s">
        <x:v>22</x:v>
      </x:c>
      <x:c r="E15" s="0">
        <x:v>1</x:v>
      </x:c>
      <x:c r="F15" s="0">
        <x:v>1</x:v>
      </x:c>
      <x:c r="G15" s="8">
        <x:v>180</x:v>
      </x:c>
      <x:c r="H15" s="8">
        <x:v>180</x:v>
      </x:c>
      <x:c r="I15" s="0" t="s">
        <x:v>23</x:v>
      </x:c>
      <x:c r="K15" s="8">
        <x:v>180</x:v>
      </x:c>
      <x:c r="L15" s="0" t="s">
        <x:v>24</x:v>
      </x:c>
      <x:c r="M15" s="0" t="s">
        <x:v>25</x:v>
      </x:c>
      <x:c r="N15" s="0" t="s">
        <x:v>26</x:v>
      </x:c>
      <x:c r="P15" s="0" t="s">
        <x:v>27</x:v>
      </x:c>
    </x:row>
    <x:row r="16" spans="1:20">
      <x:c r="A16" s="0">
        <x:v>15</x:v>
      </x:c>
      <x:c r="B16" s="0" t="s">
        <x:v>47</x:v>
      </x:c>
      <x:c r="C16" s="0" t="s">
        <x:v>21</x:v>
      </x:c>
      <x:c r="D16" s="0" t="s">
        <x:v>22</x:v>
      </x:c>
      <x:c r="E16" s="0">
        <x:v>1</x:v>
      </x:c>
      <x:c r="F16" s="0">
        <x:v>1</x:v>
      </x:c>
      <x:c r="G16" s="8">
        <x:v>270</x:v>
      </x:c>
      <x:c r="H16" s="8">
        <x:v>270</x:v>
      </x:c>
      <x:c r="I16" s="0" t="s">
        <x:v>23</x:v>
      </x:c>
      <x:c r="K16" s="8">
        <x:v>270</x:v>
      </x:c>
      <x:c r="L16" s="0" t="s">
        <x:v>24</x:v>
      </x:c>
      <x:c r="M16" s="0" t="s">
        <x:v>25</x:v>
      </x:c>
      <x:c r="N16" s="0" t="s">
        <x:v>26</x:v>
      </x:c>
      <x:c r="P16" s="0" t="s">
        <x:v>27</x:v>
      </x:c>
    </x:row>
    <x:row r="17" spans="1:20">
      <x:c r="A17" s="0">
        <x:v>16</x:v>
      </x:c>
      <x:c r="B17" s="0" t="s">
        <x:v>95</x:v>
      </x:c>
      <x:c r="C17" s="0" t="s">
        <x:v>21</x:v>
      </x:c>
      <x:c r="D17" s="0" t="s">
        <x:v>22</x:v>
      </x:c>
      <x:c r="E17" s="0">
        <x:v>1</x:v>
      </x:c>
      <x:c r="F17" s="0">
        <x:v>1</x:v>
      </x:c>
      <x:c r="G17" s="8">
        <x:v>300</x:v>
      </x:c>
      <x:c r="H17" s="8">
        <x:v>300</x:v>
      </x:c>
      <x:c r="I17" s="0" t="s">
        <x:v>23</x:v>
      </x:c>
      <x:c r="K17" s="8">
        <x:v>300</x:v>
      </x:c>
      <x:c r="L17" s="0" t="s">
        <x:v>24</x:v>
      </x:c>
      <x:c r="M17" s="0" t="s">
        <x:v>25</x:v>
      </x:c>
      <x:c r="N17" s="0" t="s">
        <x:v>26</x:v>
      </x:c>
      <x:c r="P17" s="0" t="s">
        <x:v>27</x:v>
      </x:c>
    </x:row>
    <x:row r="18" spans="1:20">
      <x:c r="A18" s="0">
        <x:v>17</x:v>
      </x:c>
      <x:c r="B18" s="0" t="s">
        <x:v>72</x:v>
      </x:c>
      <x:c r="C18" s="0" t="s">
        <x:v>21</x:v>
      </x:c>
      <x:c r="D18" s="0" t="s">
        <x:v>22</x:v>
      </x:c>
      <x:c r="E18" s="0">
        <x:v>1</x:v>
      </x:c>
      <x:c r="F18" s="0">
        <x:v>1</x:v>
      </x:c>
      <x:c r="G18" s="8">
        <x:v>20</x:v>
      </x:c>
      <x:c r="H18" s="8">
        <x:v>20</x:v>
      </x:c>
      <x:c r="I18" s="0" t="s">
        <x:v>23</x:v>
      </x:c>
      <x:c r="K18" s="8">
        <x:v>20</x:v>
      </x:c>
      <x:c r="L18" s="0" t="s">
        <x:v>24</x:v>
      </x:c>
      <x:c r="M18" s="0" t="s">
        <x:v>25</x:v>
      </x:c>
      <x:c r="N18" s="0" t="s">
        <x:v>26</x:v>
      </x:c>
      <x:c r="P18" s="0" t="s">
        <x:v>27</x:v>
      </x:c>
    </x:row>
    <x:row r="19" spans="1:20">
      <x:c r="A19" s="0">
        <x:v>18</x:v>
      </x:c>
      <x:c r="B19" s="0" t="s">
        <x:v>51</x:v>
      </x:c>
      <x:c r="C19" s="0" t="s">
        <x:v>21</x:v>
      </x:c>
      <x:c r="D19" s="0" t="s">
        <x:v>22</x:v>
      </x:c>
      <x:c r="E19" s="0">
        <x:v>1</x:v>
      </x:c>
      <x:c r="F19" s="0">
        <x:v>1</x:v>
      </x:c>
      <x:c r="G19" s="8">
        <x:v>60</x:v>
      </x:c>
      <x:c r="H19" s="8">
        <x:v>60</x:v>
      </x:c>
      <x:c r="I19" s="0" t="s">
        <x:v>23</x:v>
      </x:c>
      <x:c r="K19" s="8">
        <x:v>60</x:v>
      </x:c>
      <x:c r="L19" s="0" t="s">
        <x:v>24</x:v>
      </x:c>
      <x:c r="M19" s="0" t="s">
        <x:v>25</x:v>
      </x:c>
      <x:c r="N19" s="0" t="s">
        <x:v>26</x:v>
      </x:c>
      <x:c r="P19" s="0" t="s">
        <x:v>27</x:v>
      </x:c>
    </x:row>
    <x:row r="20" spans="1:20">
      <x:c r="A20" s="0">
        <x:v>19</x:v>
      </x:c>
      <x:c r="B20" s="0" t="s">
        <x:v>52</x:v>
      </x:c>
      <x:c r="C20" s="0" t="s">
        <x:v>21</x:v>
      </x:c>
      <x:c r="D20" s="0" t="s">
        <x:v>22</x:v>
      </x:c>
      <x:c r="E20" s="0">
        <x:v>1</x:v>
      </x:c>
      <x:c r="F20" s="0">
        <x:v>3</x:v>
      </x:c>
      <x:c r="G20" s="8">
        <x:v>220.33</x:v>
      </x:c>
      <x:c r="H20" s="8">
        <x:v>661</x:v>
      </x:c>
      <x:c r="I20" s="0" t="s">
        <x:v>23</x:v>
      </x:c>
      <x:c r="K20" s="8">
        <x:v>661</x:v>
      </x:c>
      <x:c r="L20" s="0" t="s">
        <x:v>24</x:v>
      </x:c>
      <x:c r="M20" s="0" t="s">
        <x:v>25</x:v>
      </x:c>
      <x:c r="N20" s="0" t="s">
        <x:v>26</x:v>
      </x:c>
      <x:c r="P20" s="0" t="s">
        <x:v>27</x:v>
      </x:c>
    </x:row>
    <x:row r="21" spans="1:20">
      <x:c r="A21" s="0">
        <x:v>20</x:v>
      </x:c>
      <x:c r="B21" s="0" t="s">
        <x:v>53</x:v>
      </x:c>
      <x:c r="C21" s="0" t="s">
        <x:v>21</x:v>
      </x:c>
      <x:c r="D21" s="0" t="s">
        <x:v>22</x:v>
      </x:c>
      <x:c r="E21" s="0">
        <x:v>1</x:v>
      </x:c>
      <x:c r="F21" s="0">
        <x:v>4</x:v>
      </x:c>
      <x:c r="G21" s="8">
        <x:v>40</x:v>
      </x:c>
      <x:c r="H21" s="8">
        <x:v>160</x:v>
      </x:c>
      <x:c r="I21" s="0" t="s">
        <x:v>23</x:v>
      </x:c>
      <x:c r="K21" s="8">
        <x:v>160</x:v>
      </x:c>
      <x:c r="L21" s="0" t="s">
        <x:v>24</x:v>
      </x:c>
      <x:c r="M21" s="0" t="s">
        <x:v>25</x:v>
      </x:c>
      <x:c r="N21" s="0" t="s">
        <x:v>26</x:v>
      </x:c>
      <x:c r="P21" s="0" t="s">
        <x:v>27</x:v>
      </x:c>
    </x:row>
    <x:row r="22" spans="1:20">
      <x:c r="A22" s="0">
        <x:v>21</x:v>
      </x:c>
      <x:c r="B22" s="0" t="s">
        <x:v>55</x:v>
      </x:c>
      <x:c r="C22" s="0" t="s">
        <x:v>21</x:v>
      </x:c>
      <x:c r="D22" s="0" t="s">
        <x:v>22</x:v>
      </x:c>
      <x:c r="E22" s="0">
        <x:v>1</x:v>
      </x:c>
      <x:c r="F22" s="0">
        <x:v>4</x:v>
      </x:c>
      <x:c r="G22" s="8">
        <x:v>336.88</x:v>
      </x:c>
      <x:c r="H22" s="8">
        <x:v>1347.5</x:v>
      </x:c>
      <x:c r="I22" s="0" t="s">
        <x:v>23</x:v>
      </x:c>
      <x:c r="K22" s="8">
        <x:v>1347.5</x:v>
      </x:c>
      <x:c r="L22" s="0" t="s">
        <x:v>24</x:v>
      </x:c>
      <x:c r="M22" s="0" t="s">
        <x:v>25</x:v>
      </x:c>
      <x:c r="N22" s="0" t="s">
        <x:v>26</x:v>
      </x:c>
      <x:c r="P22" s="0" t="s">
        <x:v>27</x:v>
      </x:c>
    </x:row>
    <x:row r="23" spans="1:20">
      <x:c r="A23" s="0">
        <x:v>22</x:v>
      </x:c>
      <x:c r="B23" s="0" t="s">
        <x:v>115</x:v>
      </x:c>
      <x:c r="C23" s="0" t="s">
        <x:v>21</x:v>
      </x:c>
      <x:c r="D23" s="0" t="s">
        <x:v>34</x:v>
      </x:c>
      <x:c r="E23" s="0">
        <x:v>1</x:v>
      </x:c>
      <x:c r="F23" s="0">
        <x:v>0.1</x:v>
      </x:c>
      <x:c r="G23" s="8">
        <x:v>2800</x:v>
      </x:c>
      <x:c r="H23" s="8">
        <x:v>280</x:v>
      </x:c>
      <x:c r="I23" s="0" t="s">
        <x:v>23</x:v>
      </x:c>
      <x:c r="K23" s="8">
        <x:v>280</x:v>
      </x:c>
      <x:c r="L23" s="0" t="s">
        <x:v>24</x:v>
      </x:c>
      <x:c r="M23" s="0" t="s">
        <x:v>25</x:v>
      </x:c>
      <x:c r="N23" s="0" t="s">
        <x:v>26</x:v>
      </x:c>
      <x:c r="P23" s="0" t="s">
        <x:v>27</x:v>
      </x:c>
    </x:row>
    <x:row r="24" spans="1:20">
      <x:c r="A24" s="0">
        <x:v>23</x:v>
      </x:c>
      <x:c r="B24" s="0" t="s">
        <x:v>57</x:v>
      </x:c>
      <x:c r="C24" s="0" t="s">
        <x:v>21</x:v>
      </x:c>
      <x:c r="D24" s="0" t="s">
        <x:v>22</x:v>
      </x:c>
      <x:c r="E24" s="0">
        <x:v>1</x:v>
      </x:c>
      <x:c r="F24" s="0">
        <x:v>4</x:v>
      </x:c>
      <x:c r="G24" s="8">
        <x:v>144.38</x:v>
      </x:c>
      <x:c r="H24" s="8">
        <x:v>577.5</x:v>
      </x:c>
      <x:c r="I24" s="0" t="s">
        <x:v>23</x:v>
      </x:c>
      <x:c r="K24" s="8">
        <x:v>577.5</x:v>
      </x:c>
      <x:c r="L24" s="0" t="s">
        <x:v>24</x:v>
      </x:c>
      <x:c r="M24" s="0" t="s">
        <x:v>25</x:v>
      </x:c>
      <x:c r="N24" s="0" t="s">
        <x:v>26</x:v>
      </x:c>
      <x:c r="P24" s="0" t="s">
        <x:v>27</x:v>
      </x:c>
    </x:row>
    <x:row r="25" spans="1:20">
      <x:c r="A25" s="0">
        <x:v>24</x:v>
      </x:c>
      <x:c r="B25" s="0" t="s">
        <x:v>58</x:v>
      </x:c>
      <x:c r="C25" s="0" t="s">
        <x:v>21</x:v>
      </x:c>
      <x:c r="D25" s="0" t="s">
        <x:v>22</x:v>
      </x:c>
      <x:c r="E25" s="0">
        <x:v>1</x:v>
      </x:c>
      <x:c r="F25" s="0">
        <x:v>1</x:v>
      </x:c>
      <x:c r="G25" s="8">
        <x:v>280</x:v>
      </x:c>
      <x:c r="H25" s="8">
        <x:v>280</x:v>
      </x:c>
      <x:c r="I25" s="0" t="s">
        <x:v>23</x:v>
      </x:c>
      <x:c r="K25" s="8">
        <x:v>280</x:v>
      </x:c>
      <x:c r="L25" s="0" t="s">
        <x:v>24</x:v>
      </x:c>
      <x:c r="M25" s="0" t="s">
        <x:v>25</x:v>
      </x:c>
      <x:c r="N25" s="0" t="s">
        <x:v>26</x:v>
      </x:c>
      <x:c r="P25" s="0" t="s">
        <x:v>27</x:v>
      </x:c>
    </x:row>
    <x:row r="26" spans="1:20">
      <x:c r="A26" s="0">
        <x:v>25</x:v>
      </x:c>
      <x:c r="B26" s="0" t="s">
        <x:v>98</x:v>
      </x:c>
      <x:c r="C26" s="0" t="s">
        <x:v>21</x:v>
      </x:c>
      <x:c r="D26" s="0" t="s">
        <x:v>34</x:v>
      </x:c>
      <x:c r="E26" s="0">
        <x:v>1</x:v>
      </x:c>
      <x:c r="F26" s="0">
        <x:v>0.1</x:v>
      </x:c>
      <x:c r="G26" s="8">
        <x:v>3450</x:v>
      </x:c>
      <x:c r="H26" s="8">
        <x:v>345</x:v>
      </x:c>
      <x:c r="I26" s="0" t="s">
        <x:v>23</x:v>
      </x:c>
      <x:c r="K26" s="8">
        <x:v>345</x:v>
      </x:c>
      <x:c r="L26" s="0" t="s">
        <x:v>24</x:v>
      </x:c>
      <x:c r="M26" s="0" t="s">
        <x:v>25</x:v>
      </x:c>
      <x:c r="N26" s="0" t="s">
        <x:v>26</x:v>
      </x:c>
      <x:c r="P26" s="0" t="s">
        <x:v>27</x:v>
      </x:c>
    </x:row>
    <x:row r="27" spans="1:20">
      <x:c r="A27" s="0">
        <x:v>26</x:v>
      </x:c>
      <x:c r="B27" s="0" t="s">
        <x:v>116</x:v>
      </x:c>
      <x:c r="C27" s="0" t="s">
        <x:v>21</x:v>
      </x:c>
      <x:c r="D27" s="0" t="s">
        <x:v>22</x:v>
      </x:c>
      <x:c r="E27" s="0">
        <x:v>1</x:v>
      </x:c>
      <x:c r="F27" s="0">
        <x:v>1</x:v>
      </x:c>
      <x:c r="G27" s="8">
        <x:v>580</x:v>
      </x:c>
      <x:c r="H27" s="8">
        <x:v>580</x:v>
      </x:c>
      <x:c r="I27" s="0" t="s">
        <x:v>23</x:v>
      </x:c>
      <x:c r="K27" s="8">
        <x:v>580</x:v>
      </x:c>
      <x:c r="L27" s="0" t="s">
        <x:v>24</x:v>
      </x:c>
      <x:c r="M27" s="0" t="s">
        <x:v>25</x:v>
      </x:c>
      <x:c r="N27" s="0" t="s">
        <x:v>26</x:v>
      </x:c>
      <x:c r="P27" s="0" t="s">
        <x:v>27</x:v>
      </x:c>
    </x:row>
    <x:row r="28" spans="1:20">
      <x:c r="A28" s="0">
        <x:v>27</x:v>
      </x:c>
      <x:c r="B28" s="0" t="s">
        <x:v>60</x:v>
      </x:c>
      <x:c r="C28" s="0" t="s">
        <x:v>21</x:v>
      </x:c>
      <x:c r="D28" s="0" t="s">
        <x:v>22</x:v>
      </x:c>
      <x:c r="E28" s="0">
        <x:v>1</x:v>
      </x:c>
      <x:c r="F28" s="0">
        <x:v>1</x:v>
      </x:c>
      <x:c r="G28" s="8">
        <x:v>150</x:v>
      </x:c>
      <x:c r="H28" s="8">
        <x:v>150</x:v>
      </x:c>
      <x:c r="I28" s="0" t="s">
        <x:v>23</x:v>
      </x:c>
      <x:c r="K28" s="8">
        <x:v>150</x:v>
      </x:c>
      <x:c r="L28" s="0" t="s">
        <x:v>24</x:v>
      </x:c>
      <x:c r="M28" s="0" t="s">
        <x:v>25</x:v>
      </x:c>
      <x:c r="N28" s="0" t="s">
        <x:v>26</x:v>
      </x:c>
      <x:c r="P28" s="0" t="s">
        <x:v>27</x:v>
      </x:c>
    </x:row>
    <x:row r="29" spans="1:20">
      <x:c r="B29" s="9"/>
      <x:c r="C29" s="9"/>
      <x:c r="D29" s="9"/>
      <x:c r="E29" s="9"/>
      <x:c r="F29" s="9"/>
      <x:c r="G29" s="9"/>
      <x:c r="H29" s="10">
        <x:f>SUM(H2:H28)</x:f>
      </x:c>
      <x:c r="I29" s="9"/>
    </x:row>
    <x:row r="30" spans="1:20">
      <x:c r="B30" s="9"/>
      <x:c r="C30" s="9"/>
      <x:c r="D30" s="9"/>
      <x:c r="E30" s="9"/>
      <x:c r="F30" s="9"/>
      <x:c r="G30" s="9"/>
      <x:c r="H30" s="9"/>
      <x:c r="I30" s="9"/>
    </x:row>
    <x:row r="31" spans="1:20">
      <x:c r="B31" s="11" t="s">
        <x:v>163</x:v>
      </x:c>
      <x:c r="C31" s="12"/>
      <x:c r="D31" s="12"/>
      <x:c r="E31" s="12"/>
      <x:c r="F31" s="12"/>
      <x:c r="G31" s="12"/>
      <x:c r="H31" s="12">
        <x:f>SUM(H32:H34)</x:f>
      </x:c>
      <x:c r="I31" s="13" t="s">
        <x:v>164</x:v>
      </x:c>
    </x:row>
    <x:row r="32" spans="1:20">
      <x:c r="B32" s="12" t="s">
        <x:v>165</x:v>
      </x:c>
      <x:c r="C32" s="12"/>
      <x:c r="D32" s="12"/>
      <x:c r="E32" s="12"/>
      <x:c r="F32" s="14">
        <x:f>F2+F3+F4+F5+F6+F7+F8+F11+F12+F16+F17+F20+F24+F25+F28</x:f>
      </x:c>
      <x:c r="G32" s="14">
        <x:f>G2+G3+G4+G5+G6+G7+G8+G11+G12+G16+G17+G20+G24+G25+G28</x:f>
      </x:c>
      <x:c r="H32" s="14">
        <x:f>H2+H3+H4+H5+H6+H7+H8+H11+H12+H16+H17+H20+H24+H25+H28</x:f>
      </x:c>
      <x:c r="I32" s="13"/>
    </x:row>
    <x:row r="33" spans="1:20">
      <x:c r="B33" s="12" t="s">
        <x:v>166</x:v>
      </x:c>
      <x:c r="C33" s="12"/>
      <x:c r="D33" s="12"/>
      <x:c r="E33" s="12"/>
      <x:c r="F33" s="14"/>
      <x:c r="G33" s="14"/>
      <x:c r="H33" s="14"/>
      <x:c r="I33" s="13"/>
    </x:row>
    <x:row r="34" spans="1:20">
      <x:c r="B34" s="12" t="s">
        <x:v>167</x:v>
      </x:c>
      <x:c r="C34" s="12"/>
      <x:c r="D34" s="12"/>
      <x:c r="E34" s="12"/>
      <x:c r="F34" s="14">
        <x:f>F9+F18+F19+F21</x:f>
      </x:c>
      <x:c r="G34" s="14">
        <x:f>G9+G18+G19+G21</x:f>
      </x:c>
      <x:c r="H34" s="14">
        <x:f>H9+H18+H19+H21</x:f>
      </x:c>
      <x:c r="I34" s="13"/>
    </x:row>
    <x:row r="35" spans="1:20">
      <x:c r="B35" s="11" t="s">
        <x:v>168</x:v>
      </x:c>
      <x:c r="C35" s="12"/>
      <x:c r="D35" s="12"/>
      <x:c r="E35" s="12"/>
      <x:c r="F35" s="12"/>
      <x:c r="G35" s="12"/>
      <x:c r="H35" s="12">
        <x:f>SUM(H36:H42)</x:f>
      </x:c>
      <x:c r="I35" s="13" t="s">
        <x:v>169</x:v>
      </x:c>
    </x:row>
    <x:row r="36" spans="1:20">
      <x:c r="B36" s="12" t="s">
        <x:v>170</x:v>
      </x:c>
      <x:c r="C36" s="12"/>
      <x:c r="D36" s="12"/>
      <x:c r="E36" s="12"/>
      <x:c r="F36" s="14">
        <x:f>F10</x:f>
      </x:c>
      <x:c r="G36" s="14">
        <x:f>G10</x:f>
      </x:c>
      <x:c r="H36" s="14">
        <x:f>H10</x:f>
      </x:c>
      <x:c r="I36" s="13"/>
    </x:row>
    <x:row r="37" spans="1:20">
      <x:c r="B37" s="12" t="s">
        <x:v>171</x:v>
      </x:c>
      <x:c r="C37" s="12"/>
      <x:c r="D37" s="12"/>
      <x:c r="E37" s="12"/>
      <x:c r="F37" s="14"/>
      <x:c r="G37" s="14"/>
      <x:c r="H37" s="14"/>
      <x:c r="I37" s="13"/>
    </x:row>
    <x:row r="38" spans="1:20">
      <x:c r="B38" s="12" t="s">
        <x:v>172</x:v>
      </x:c>
      <x:c r="C38" s="12"/>
      <x:c r="D38" s="12"/>
      <x:c r="E38" s="12"/>
      <x:c r="F38" s="14"/>
      <x:c r="G38" s="14"/>
      <x:c r="H38" s="14"/>
      <x:c r="I38" s="13"/>
    </x:row>
    <x:row r="39" spans="1:20">
      <x:c r="B39" s="12" t="s">
        <x:v>173</x:v>
      </x:c>
      <x:c r="C39" s="12"/>
      <x:c r="D39" s="12"/>
      <x:c r="E39" s="12"/>
      <x:c r="F39" s="14">
        <x:f>F23+F26</x:f>
      </x:c>
      <x:c r="G39" s="14">
        <x:f>G23+G26</x:f>
      </x:c>
      <x:c r="H39" s="14">
        <x:f>H23+H26</x:f>
      </x:c>
      <x:c r="I39" s="13"/>
    </x:row>
    <x:row r="40" spans="1:20">
      <x:c r="B40" s="12" t="s">
        <x:v>174</x:v>
      </x:c>
      <x:c r="C40" s="12"/>
      <x:c r="D40" s="12"/>
      <x:c r="E40" s="12"/>
      <x:c r="F40" s="14"/>
      <x:c r="G40" s="14"/>
      <x:c r="H40" s="14"/>
      <x:c r="I40" s="13"/>
    </x:row>
    <x:row r="41" spans="1:20">
      <x:c r="B41" s="12" t="s">
        <x:v>70</x:v>
      </x:c>
      <x:c r="C41" s="12"/>
      <x:c r="D41" s="12"/>
      <x:c r="E41" s="12"/>
      <x:c r="F41" s="14"/>
      <x:c r="G41" s="14"/>
      <x:c r="H41" s="14"/>
      <x:c r="I41" s="13"/>
    </x:row>
    <x:row r="42" spans="1:20">
      <x:c r="B42" s="12" t="s">
        <x:v>175</x:v>
      </x:c>
      <x:c r="C42" s="12"/>
      <x:c r="D42" s="12"/>
      <x:c r="E42" s="12"/>
      <x:c r="F42" s="14">
        <x:f>F27</x:f>
      </x:c>
      <x:c r="G42" s="14">
        <x:f>G27</x:f>
      </x:c>
      <x:c r="H42" s="14">
        <x:f>H27</x:f>
      </x:c>
      <x:c r="I42" s="13"/>
    </x:row>
    <x:row r="43" spans="1:20">
      <x:c r="B43" s="11" t="s">
        <x:v>176</x:v>
      </x:c>
      <x:c r="C43" s="12"/>
      <x:c r="D43" s="12"/>
      <x:c r="E43" s="12"/>
      <x:c r="F43" s="12"/>
      <x:c r="G43" s="12"/>
      <x:c r="H43" s="12">
        <x:f>SUM(H44:H49)</x:f>
      </x:c>
      <x:c r="I43" s="13" t="s">
        <x:v>177</x:v>
      </x:c>
    </x:row>
    <x:row r="44" spans="1:20">
      <x:c r="B44" s="12" t="s">
        <x:v>178</x:v>
      </x:c>
      <x:c r="C44" s="12"/>
      <x:c r="D44" s="12"/>
      <x:c r="E44" s="12"/>
      <x:c r="F44" s="14"/>
      <x:c r="G44" s="14"/>
      <x:c r="H44" s="14"/>
      <x:c r="I44" s="13"/>
    </x:row>
    <x:row r="45" spans="1:20">
      <x:c r="B45" s="12" t="s">
        <x:v>179</x:v>
      </x:c>
      <x:c r="C45" s="12"/>
      <x:c r="D45" s="12"/>
      <x:c r="E45" s="12"/>
      <x:c r="F45" s="14">
        <x:f>F22</x:f>
      </x:c>
      <x:c r="G45" s="14">
        <x:f>G22</x:f>
      </x:c>
      <x:c r="H45" s="14">
        <x:f>H22</x:f>
      </x:c>
      <x:c r="I45" s="13"/>
    </x:row>
    <x:row r="46" spans="1:20">
      <x:c r="B46" s="12" t="s">
        <x:v>54</x:v>
      </x:c>
      <x:c r="C46" s="12"/>
      <x:c r="D46" s="12"/>
      <x:c r="E46" s="12"/>
      <x:c r="F46" s="14"/>
      <x:c r="G46" s="14"/>
      <x:c r="H46" s="14"/>
      <x:c r="I46" s="13"/>
    </x:row>
    <x:row r="47" spans="1:20">
      <x:c r="B47" s="12" t="s">
        <x:v>180</x:v>
      </x:c>
      <x:c r="C47" s="12"/>
      <x:c r="D47" s="12"/>
      <x:c r="E47" s="12"/>
      <x:c r="F47" s="14"/>
      <x:c r="G47" s="14"/>
      <x:c r="H47" s="14"/>
      <x:c r="I47" s="13"/>
    </x:row>
    <x:row r="48" spans="1:20">
      <x:c r="B48" s="12" t="s">
        <x:v>181</x:v>
      </x:c>
      <x:c r="C48" s="12"/>
      <x:c r="D48" s="12"/>
      <x:c r="E48" s="12"/>
      <x:c r="F48" s="14">
        <x:f>F14+F15</x:f>
      </x:c>
      <x:c r="G48" s="14">
        <x:f>G14+G15</x:f>
      </x:c>
      <x:c r="H48" s="14">
        <x:f>H14+H15</x:f>
      </x:c>
      <x:c r="I48" s="13"/>
    </x:row>
    <x:row r="49" spans="1:20">
      <x:c r="B49" s="12" t="s">
        <x:v>182</x:v>
      </x:c>
      <x:c r="C49" s="12"/>
      <x:c r="D49" s="12"/>
      <x:c r="E49" s="12"/>
      <x:c r="F49" s="14">
        <x:f>F13</x:f>
      </x:c>
      <x:c r="G49" s="14">
        <x:f>G13</x:f>
      </x:c>
      <x:c r="H49" s="14">
        <x:f>H13</x:f>
      </x:c>
      <x:c r="I49" s="13"/>
    </x:row>
    <x:row r="50" spans="1:20">
      <x:c r="B50" s="11" t="s">
        <x:v>183</x:v>
      </x:c>
      <x:c r="C50" s="12"/>
      <x:c r="D50" s="12"/>
      <x:c r="E50" s="12"/>
      <x:c r="F50" s="12"/>
      <x:c r="G50" s="12"/>
      <x:c r="H50" s="12">
        <x:f>SUM(H51:H52)</x:f>
      </x:c>
      <x:c r="I50" s="13"/>
    </x:row>
    <x:row r="51" spans="1:20">
      <x:c r="B51" s="12" t="s">
        <x:v>184</x:v>
      </x:c>
      <x:c r="C51" s="12"/>
      <x:c r="D51" s="12"/>
      <x:c r="E51" s="12"/>
      <x:c r="F51" s="14"/>
      <x:c r="G51" s="14"/>
      <x:c r="H51" s="14"/>
      <x:c r="I51" s="13"/>
    </x:row>
    <x:row r="52" spans="1:20">
      <x:c r="B52" s="12" t="s">
        <x:v>185</x:v>
      </x:c>
      <x:c r="C52" s="12"/>
      <x:c r="D52" s="12"/>
      <x:c r="E52" s="12"/>
      <x:c r="F52" s="14"/>
      <x:c r="G52" s="14"/>
      <x:c r="H52" s="14"/>
      <x:c r="I52" s="15"/>
    </x:row>
    <x:row r="53" spans="1:20">
      <x:c r="B53" s="16"/>
      <x:c r="C53" s="16"/>
      <x:c r="D53" s="16"/>
      <x:c r="E53" s="16"/>
      <x:c r="F53" s="16"/>
      <x:c r="G53" s="16"/>
      <x:c r="H53" s="16">
        <x:f>H31+H35+H43+H50</x:f>
      </x:c>
      <x:c r="I53" s="15"/>
    </x:row>
    <x:row r="54" spans="1:20">
      <x:c r="H54" s="17">
        <x:f>H53 - H29</x:f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B6B8D1B-4604-6C46-B8C9-38494A501481}" mc:Ignorable="x14ac xr xr2 xr3">
  <x:sheetPr>
    <x:outlinePr summaryBelow="1" summaryRight="1"/>
  </x:sheetPr>
  <x:dimension ref="A1:T38"/>
  <x:sheetViews>
    <x:sheetView topLeftCell="A37" zoomScale="130" zoomScaleNormal="130" workbookViewId="0">
      <x:selection activeCell="A39" sqref="A39"/>
    </x:sheetView>
  </x:sheetViews>
  <x:sheetFormatPr defaultColWidth="11.210625" defaultRowHeight="15.75"/>
  <x:cols>
    <x:col min="1" max="1" width="11.210625" style="0" customWidth="1"/>
    <x:col min="2" max="2" width="34.375" style="0" customWidth="1"/>
    <x:col min="3" max="3" width="2.625" style="0" customWidth="1"/>
    <x:col min="4" max="4" width="2.375" style="0" customWidth="1"/>
    <x:col min="5" max="5" width="2.125" style="0" customWidth="1"/>
  </x:cols>
  <x:sheetData>
    <x:row r="1" spans="1:2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</x:row>
    <x:row r="2" spans="1:20">
      <x:c r="A2" s="0">
        <x:v>1</x:v>
      </x:c>
      <x:c r="B2" s="0" t="s">
        <x:v>112</x:v>
      </x:c>
      <x:c r="C2" s="0" t="s">
        <x:v>21</x:v>
      </x:c>
      <x:c r="D2" s="0" t="s">
        <x:v>22</x:v>
      </x:c>
      <x:c r="E2" s="0">
        <x:v>1</x:v>
      </x:c>
      <x:c r="F2" s="0">
        <x:v>2</x:v>
      </x:c>
      <x:c r="G2" s="8">
        <x:v>249.75</x:v>
      </x:c>
      <x:c r="H2" s="8">
        <x:v>499.5</x:v>
      </x:c>
      <x:c r="I2" s="0" t="s">
        <x:v>23</x:v>
      </x:c>
      <x:c r="K2" s="8">
        <x:v>499.5</x:v>
      </x:c>
      <x:c r="L2" s="0" t="s">
        <x:v>24</x:v>
      </x:c>
      <x:c r="M2" s="0" t="s">
        <x:v>25</x:v>
      </x:c>
      <x:c r="N2" s="0" t="s">
        <x:v>26</x:v>
      </x:c>
      <x:c r="P2" s="0" t="s">
        <x:v>27</x:v>
      </x:c>
    </x:row>
    <x:row r="3" spans="1:20">
      <x:c r="A3" s="0">
        <x:v>2</x:v>
      </x:c>
      <x:c r="B3" s="0" t="s">
        <x:v>91</x:v>
      </x:c>
      <x:c r="C3" s="0" t="s">
        <x:v>21</x:v>
      </x:c>
      <x:c r="D3" s="0" t="s">
        <x:v>22</x:v>
      </x:c>
      <x:c r="E3" s="0">
        <x:v>1</x:v>
      </x:c>
      <x:c r="F3" s="0">
        <x:v>1</x:v>
      </x:c>
      <x:c r="G3" s="8">
        <x:v>350</x:v>
      </x:c>
      <x:c r="H3" s="8">
        <x:v>350</x:v>
      </x:c>
      <x:c r="I3" s="0" t="s">
        <x:v>23</x:v>
      </x:c>
      <x:c r="K3" s="8">
        <x:v>350</x:v>
      </x:c>
      <x:c r="L3" s="0" t="s">
        <x:v>24</x:v>
      </x:c>
      <x:c r="M3" s="0" t="s">
        <x:v>25</x:v>
      </x:c>
      <x:c r="N3" s="0" t="s">
        <x:v>26</x:v>
      </x:c>
      <x:c r="P3" s="0" t="s">
        <x:v>27</x:v>
      </x:c>
    </x:row>
    <x:row r="4" spans="1:20">
      <x:c r="A4" s="0">
        <x:v>3</x:v>
      </x:c>
      <x:c r="B4" s="0" t="s">
        <x:v>117</x:v>
      </x:c>
      <x:c r="C4" s="0" t="s">
        <x:v>21</x:v>
      </x:c>
      <x:c r="D4" s="0" t="s">
        <x:v>34</x:v>
      </x:c>
      <x:c r="E4" s="0">
        <x:v>1</x:v>
      </x:c>
      <x:c r="F4" s="0">
        <x:v>0.2</x:v>
      </x:c>
      <x:c r="G4" s="8">
        <x:v>6800</x:v>
      </x:c>
      <x:c r="H4" s="8">
        <x:v>1360</x:v>
      </x:c>
      <x:c r="I4" s="0" t="s">
        <x:v>23</x:v>
      </x:c>
      <x:c r="K4" s="8">
        <x:v>1360</x:v>
      </x:c>
      <x:c r="L4" s="0" t="s">
        <x:v>24</x:v>
      </x:c>
      <x:c r="M4" s="0" t="s">
        <x:v>25</x:v>
      </x:c>
      <x:c r="N4" s="0" t="s">
        <x:v>26</x:v>
      </x:c>
      <x:c r="P4" s="0" t="s">
        <x:v>27</x:v>
      </x:c>
    </x:row>
    <x:row r="5" spans="1:20">
      <x:c r="A5" s="0">
        <x:v>4</x:v>
      </x:c>
      <x:c r="B5" s="0" t="s">
        <x:v>74</x:v>
      </x:c>
      <x:c r="C5" s="0" t="s">
        <x:v>21</x:v>
      </x:c>
      <x:c r="D5" s="0" t="s">
        <x:v>22</x:v>
      </x:c>
      <x:c r="E5" s="0">
        <x:v>1</x:v>
      </x:c>
      <x:c r="F5" s="0">
        <x:v>1</x:v>
      </x:c>
      <x:c r="G5" s="8">
        <x:v>250</x:v>
      </x:c>
      <x:c r="H5" s="8">
        <x:v>250</x:v>
      </x:c>
      <x:c r="I5" s="0" t="s">
        <x:v>23</x:v>
      </x:c>
      <x:c r="K5" s="8">
        <x:v>250</x:v>
      </x:c>
      <x:c r="L5" s="0" t="s">
        <x:v>24</x:v>
      </x:c>
      <x:c r="M5" s="0" t="s">
        <x:v>25</x:v>
      </x:c>
      <x:c r="N5" s="0" t="s">
        <x:v>26</x:v>
      </x:c>
      <x:c r="P5" s="0" t="s">
        <x:v>27</x:v>
      </x:c>
    </x:row>
    <x:row r="6" spans="1:20">
      <x:c r="A6" s="0">
        <x:v>5</x:v>
      </x:c>
      <x:c r="B6" s="0" t="s">
        <x:v>29</x:v>
      </x:c>
      <x:c r="C6" s="0" t="s">
        <x:v>21</x:v>
      </x:c>
      <x:c r="D6" s="0" t="s">
        <x:v>22</x:v>
      </x:c>
      <x:c r="E6" s="0">
        <x:v>1</x:v>
      </x:c>
      <x:c r="F6" s="0">
        <x:v>5</x:v>
      </x:c>
      <x:c r="G6" s="8">
        <x:v>227.4</x:v>
      </x:c>
      <x:c r="H6" s="8">
        <x:v>1137</x:v>
      </x:c>
      <x:c r="I6" s="0" t="s">
        <x:v>23</x:v>
      </x:c>
      <x:c r="K6" s="8">
        <x:v>1137</x:v>
      </x:c>
      <x:c r="L6" s="0" t="s">
        <x:v>24</x:v>
      </x:c>
      <x:c r="M6" s="0" t="s">
        <x:v>25</x:v>
      </x:c>
      <x:c r="N6" s="0" t="s">
        <x:v>26</x:v>
      </x:c>
      <x:c r="P6" s="0" t="s">
        <x:v>27</x:v>
      </x:c>
    </x:row>
    <x:row r="7" spans="1:20">
      <x:c r="A7" s="0">
        <x:v>6</x:v>
      </x:c>
      <x:c r="B7" s="0" t="s">
        <x:v>30</x:v>
      </x:c>
      <x:c r="C7" s="0" t="s">
        <x:v>21</x:v>
      </x:c>
      <x:c r="D7" s="0" t="s">
        <x:v>22</x:v>
      </x:c>
      <x:c r="E7" s="0">
        <x:v>1</x:v>
      </x:c>
      <x:c r="F7" s="0">
        <x:v>11</x:v>
      </x:c>
      <x:c r="G7" s="8">
        <x:v>295.76</x:v>
      </x:c>
      <x:c r="H7" s="8">
        <x:v>3253.37</x:v>
      </x:c>
      <x:c r="I7" s="0" t="s">
        <x:v>23</x:v>
      </x:c>
      <x:c r="K7" s="8">
        <x:v>3253.37</x:v>
      </x:c>
      <x:c r="L7" s="0" t="s">
        <x:v>24</x:v>
      </x:c>
      <x:c r="M7" s="0" t="s">
        <x:v>25</x:v>
      </x:c>
      <x:c r="N7" s="0" t="s">
        <x:v>26</x:v>
      </x:c>
      <x:c r="P7" s="0" t="s">
        <x:v>27</x:v>
      </x:c>
    </x:row>
    <x:row r="8" spans="1:20">
      <x:c r="A8" s="0">
        <x:v>7</x:v>
      </x:c>
      <x:c r="B8" s="0" t="s">
        <x:v>31</x:v>
      </x:c>
      <x:c r="C8" s="0" t="s">
        <x:v>21</x:v>
      </x:c>
      <x:c r="D8" s="0" t="s">
        <x:v>22</x:v>
      </x:c>
      <x:c r="E8" s="0">
        <x:v>1</x:v>
      </x:c>
      <x:c r="F8" s="0">
        <x:v>1</x:v>
      </x:c>
      <x:c r="G8" s="8">
        <x:v>100</x:v>
      </x:c>
      <x:c r="H8" s="8">
        <x:v>100</x:v>
      </x:c>
      <x:c r="I8" s="0" t="s">
        <x:v>23</x:v>
      </x:c>
      <x:c r="K8" s="8">
        <x:v>100</x:v>
      </x:c>
      <x:c r="L8" s="0" t="s">
        <x:v>24</x:v>
      </x:c>
      <x:c r="M8" s="0" t="s">
        <x:v>25</x:v>
      </x:c>
      <x:c r="N8" s="0" t="s">
        <x:v>26</x:v>
      </x:c>
      <x:c r="P8" s="0" t="s">
        <x:v>27</x:v>
      </x:c>
    </x:row>
    <x:row r="9" spans="1:20">
      <x:c r="A9" s="0">
        <x:v>8</x:v>
      </x:c>
      <x:c r="B9" s="0" t="s">
        <x:v>118</x:v>
      </x:c>
      <x:c r="C9" s="0" t="s">
        <x:v>21</x:v>
      </x:c>
      <x:c r="D9" s="0" t="s">
        <x:v>22</x:v>
      </x:c>
      <x:c r="E9" s="0">
        <x:v>1</x:v>
      </x:c>
      <x:c r="F9" s="0">
        <x:v>1</x:v>
      </x:c>
      <x:c r="G9" s="8">
        <x:v>640</x:v>
      </x:c>
      <x:c r="H9" s="8">
        <x:v>640</x:v>
      </x:c>
      <x:c r="I9" s="0" t="s">
        <x:v>23</x:v>
      </x:c>
      <x:c r="K9" s="8">
        <x:v>640</x:v>
      </x:c>
      <x:c r="L9" s="0" t="s">
        <x:v>24</x:v>
      </x:c>
      <x:c r="M9" s="0" t="s">
        <x:v>25</x:v>
      </x:c>
      <x:c r="N9" s="0" t="s">
        <x:v>26</x:v>
      </x:c>
      <x:c r="P9" s="0" t="s">
        <x:v>27</x:v>
      </x:c>
    </x:row>
    <x:row r="10" spans="1:20">
      <x:c r="A10" s="0">
        <x:v>9</x:v>
      </x:c>
      <x:c r="B10" s="0" t="s">
        <x:v>78</x:v>
      </x:c>
      <x:c r="C10" s="0" t="s">
        <x:v>21</x:v>
      </x:c>
      <x:c r="D10" s="0" t="s">
        <x:v>34</x:v>
      </x:c>
      <x:c r="E10" s="0">
        <x:v>1</x:v>
      </x:c>
      <x:c r="F10" s="0">
        <x:v>0.35</x:v>
      </x:c>
      <x:c r="G10" s="8">
        <x:v>3330.6</x:v>
      </x:c>
      <x:c r="H10" s="8">
        <x:v>1165.71</x:v>
      </x:c>
      <x:c r="I10" s="0" t="s">
        <x:v>23</x:v>
      </x:c>
      <x:c r="K10" s="8">
        <x:v>1165.71</x:v>
      </x:c>
      <x:c r="L10" s="0" t="s">
        <x:v>24</x:v>
      </x:c>
      <x:c r="M10" s="0" t="s">
        <x:v>25</x:v>
      </x:c>
      <x:c r="N10" s="0" t="s">
        <x:v>26</x:v>
      </x:c>
      <x:c r="P10" s="0" t="s">
        <x:v>27</x:v>
      </x:c>
    </x:row>
    <x:row r="11" spans="1:20">
      <x:c r="A11" s="0">
        <x:v>10</x:v>
      </x:c>
      <x:c r="B11" s="0" t="s">
        <x:v>81</x:v>
      </x:c>
      <x:c r="C11" s="0" t="s">
        <x:v>21</x:v>
      </x:c>
      <x:c r="D11" s="0" t="s">
        <x:v>34</x:v>
      </x:c>
      <x:c r="E11" s="0">
        <x:v>1</x:v>
      </x:c>
      <x:c r="F11" s="0">
        <x:v>0.25</x:v>
      </x:c>
      <x:c r="G11" s="8">
        <x:v>3880</x:v>
      </x:c>
      <x:c r="H11" s="8">
        <x:v>970</x:v>
      </x:c>
      <x:c r="I11" s="0" t="s">
        <x:v>23</x:v>
      </x:c>
      <x:c r="K11" s="8">
        <x:v>970</x:v>
      </x:c>
      <x:c r="L11" s="0" t="s">
        <x:v>24</x:v>
      </x:c>
      <x:c r="M11" s="0" t="s">
        <x:v>25</x:v>
      </x:c>
      <x:c r="N11" s="0" t="s">
        <x:v>26</x:v>
      </x:c>
      <x:c r="P11" s="0" t="s">
        <x:v>27</x:v>
      </x:c>
    </x:row>
    <x:row r="12" spans="1:20">
      <x:c r="A12" s="0">
        <x:v>11</x:v>
      </x:c>
      <x:c r="B12" s="0" t="s">
        <x:v>93</x:v>
      </x:c>
      <x:c r="C12" s="0" t="s">
        <x:v>21</x:v>
      </x:c>
      <x:c r="D12" s="0" t="s">
        <x:v>34</x:v>
      </x:c>
      <x:c r="E12" s="0">
        <x:v>1</x:v>
      </x:c>
      <x:c r="F12" s="0">
        <x:v>0.1</x:v>
      </x:c>
      <x:c r="G12" s="8">
        <x:v>3301.9</x:v>
      </x:c>
      <x:c r="H12" s="8">
        <x:v>330.19</x:v>
      </x:c>
      <x:c r="I12" s="0" t="s">
        <x:v>23</x:v>
      </x:c>
      <x:c r="K12" s="8">
        <x:v>330.19</x:v>
      </x:c>
      <x:c r="L12" s="0" t="s">
        <x:v>24</x:v>
      </x:c>
      <x:c r="M12" s="0" t="s">
        <x:v>25</x:v>
      </x:c>
      <x:c r="N12" s="0" t="s">
        <x:v>26</x:v>
      </x:c>
      <x:c r="P12" s="0" t="s">
        <x:v>27</x:v>
      </x:c>
    </x:row>
    <x:row r="13" spans="1:20">
      <x:c r="A13" s="0">
        <x:v>12</x:v>
      </x:c>
      <x:c r="B13" s="0" t="s">
        <x:v>66</x:v>
      </x:c>
      <x:c r="C13" s="0" t="s">
        <x:v>21</x:v>
      </x:c>
      <x:c r="D13" s="0" t="s">
        <x:v>34</x:v>
      </x:c>
      <x:c r="E13" s="0">
        <x:v>1</x:v>
      </x:c>
      <x:c r="F13" s="0">
        <x:v>0.3</x:v>
      </x:c>
      <x:c r="G13" s="8">
        <x:v>4680</x:v>
      </x:c>
      <x:c r="H13" s="8">
        <x:v>1404</x:v>
      </x:c>
      <x:c r="I13" s="0" t="s">
        <x:v>23</x:v>
      </x:c>
      <x:c r="K13" s="8">
        <x:v>1404</x:v>
      </x:c>
      <x:c r="L13" s="0" t="s">
        <x:v>24</x:v>
      </x:c>
      <x:c r="M13" s="0" t="s">
        <x:v>25</x:v>
      </x:c>
      <x:c r="N13" s="0" t="s">
        <x:v>26</x:v>
      </x:c>
      <x:c r="P13" s="0" t="s">
        <x:v>27</x:v>
      </x:c>
    </x:row>
    <x:row r="14" spans="1:20">
      <x:c r="A14" s="0">
        <x:v>13</x:v>
      </x:c>
      <x:c r="B14" s="0" t="s">
        <x:v>33</x:v>
      </x:c>
      <x:c r="C14" s="0" t="s">
        <x:v>21</x:v>
      </x:c>
      <x:c r="D14" s="0" t="s">
        <x:v>34</x:v>
      </x:c>
      <x:c r="E14" s="0">
        <x:v>1</x:v>
      </x:c>
      <x:c r="F14" s="0">
        <x:v>0.15</x:v>
      </x:c>
      <x:c r="G14" s="8">
        <x:v>3580</x:v>
      </x:c>
      <x:c r="H14" s="8">
        <x:v>537</x:v>
      </x:c>
      <x:c r="I14" s="0" t="s">
        <x:v>23</x:v>
      </x:c>
      <x:c r="K14" s="8">
        <x:v>537</x:v>
      </x:c>
      <x:c r="L14" s="0" t="s">
        <x:v>24</x:v>
      </x:c>
      <x:c r="M14" s="0" t="s">
        <x:v>25</x:v>
      </x:c>
      <x:c r="N14" s="0" t="s">
        <x:v>26</x:v>
      </x:c>
      <x:c r="P14" s="0" t="s">
        <x:v>27</x:v>
      </x:c>
    </x:row>
    <x:row r="15" spans="1:20">
      <x:c r="A15" s="0">
        <x:v>14</x:v>
      </x:c>
      <x:c r="B15" s="0" t="s">
        <x:v>119</x:v>
      </x:c>
      <x:c r="C15" s="0" t="s">
        <x:v>21</x:v>
      </x:c>
      <x:c r="D15" s="0" t="s">
        <x:v>34</x:v>
      </x:c>
      <x:c r="E15" s="0">
        <x:v>1</x:v>
      </x:c>
      <x:c r="F15" s="0">
        <x:v>0.3</x:v>
      </x:c>
      <x:c r="G15" s="8">
        <x:v>1980</x:v>
      </x:c>
      <x:c r="H15" s="8">
        <x:v>594</x:v>
      </x:c>
      <x:c r="I15" s="0" t="s">
        <x:v>23</x:v>
      </x:c>
      <x:c r="K15" s="8">
        <x:v>594</x:v>
      </x:c>
      <x:c r="L15" s="0" t="s">
        <x:v>24</x:v>
      </x:c>
      <x:c r="M15" s="0" t="s">
        <x:v>25</x:v>
      </x:c>
      <x:c r="N15" s="0" t="s">
        <x:v>26</x:v>
      </x:c>
      <x:c r="P15" s="0" t="s">
        <x:v>27</x:v>
      </x:c>
    </x:row>
    <x:row r="16" spans="1:20">
      <x:c r="A16" s="0">
        <x:v>15</x:v>
      </x:c>
      <x:c r="B16" s="0" t="s">
        <x:v>120</x:v>
      </x:c>
      <x:c r="C16" s="0" t="s">
        <x:v>21</x:v>
      </x:c>
      <x:c r="D16" s="0" t="s">
        <x:v>34</x:v>
      </x:c>
      <x:c r="E16" s="0">
        <x:v>1</x:v>
      </x:c>
      <x:c r="F16" s="0">
        <x:v>1</x:v>
      </x:c>
      <x:c r="G16" s="8">
        <x:v>4980</x:v>
      </x:c>
      <x:c r="H16" s="8">
        <x:v>4980</x:v>
      </x:c>
      <x:c r="I16" s="0" t="s">
        <x:v>23</x:v>
      </x:c>
      <x:c r="K16" s="8">
        <x:v>4980</x:v>
      </x:c>
      <x:c r="L16" s="0" t="s">
        <x:v>24</x:v>
      </x:c>
      <x:c r="M16" s="0" t="s">
        <x:v>25</x:v>
      </x:c>
      <x:c r="N16" s="0" t="s">
        <x:v>26</x:v>
      </x:c>
      <x:c r="P16" s="0" t="s">
        <x:v>27</x:v>
      </x:c>
    </x:row>
    <x:row r="17" spans="1:20">
      <x:c r="A17" s="0">
        <x:v>16</x:v>
      </x:c>
      <x:c r="B17" s="0" t="s">
        <x:v>70</x:v>
      </x:c>
      <x:c r="C17" s="0" t="s">
        <x:v>21</x:v>
      </x:c>
      <x:c r="D17" s="0" t="s">
        <x:v>22</x:v>
      </x:c>
      <x:c r="E17" s="0">
        <x:v>1</x:v>
      </x:c>
      <x:c r="F17" s="0">
        <x:v>2</x:v>
      </x:c>
      <x:c r="G17" s="8">
        <x:v>231.17</x:v>
      </x:c>
      <x:c r="H17" s="8">
        <x:v>462.33</x:v>
      </x:c>
      <x:c r="I17" s="0" t="s">
        <x:v>23</x:v>
      </x:c>
      <x:c r="K17" s="8">
        <x:v>462.33</x:v>
      </x:c>
      <x:c r="L17" s="0" t="s">
        <x:v>24</x:v>
      </x:c>
      <x:c r="M17" s="0" t="s">
        <x:v>25</x:v>
      </x:c>
      <x:c r="N17" s="0" t="s">
        <x:v>26</x:v>
      </x:c>
      <x:c r="P17" s="0" t="s">
        <x:v>27</x:v>
      </x:c>
    </x:row>
    <x:row r="18" spans="1:20">
      <x:c r="A18" s="0">
        <x:v>17</x:v>
      </x:c>
      <x:c r="B18" s="0" t="s">
        <x:v>37</x:v>
      </x:c>
      <x:c r="C18" s="0" t="s">
        <x:v>21</x:v>
      </x:c>
      <x:c r="D18" s="0" t="s">
        <x:v>22</x:v>
      </x:c>
      <x:c r="E18" s="0">
        <x:v>1</x:v>
      </x:c>
      <x:c r="F18" s="0">
        <x:v>2</x:v>
      </x:c>
      <x:c r="G18" s="8">
        <x:v>341.05</x:v>
      </x:c>
      <x:c r="H18" s="8">
        <x:v>682.1</x:v>
      </x:c>
      <x:c r="I18" s="0" t="s">
        <x:v>23</x:v>
      </x:c>
      <x:c r="K18" s="8">
        <x:v>682.1</x:v>
      </x:c>
      <x:c r="L18" s="0" t="s">
        <x:v>24</x:v>
      </x:c>
      <x:c r="M18" s="0" t="s">
        <x:v>25</x:v>
      </x:c>
      <x:c r="N18" s="0" t="s">
        <x:v>26</x:v>
      </x:c>
      <x:c r="P18" s="0" t="s">
        <x:v>27</x:v>
      </x:c>
    </x:row>
    <x:row r="19" spans="1:20">
      <x:c r="A19" s="0">
        <x:v>18</x:v>
      </x:c>
      <x:c r="B19" s="0" t="s">
        <x:v>39</x:v>
      </x:c>
      <x:c r="C19" s="0" t="s">
        <x:v>21</x:v>
      </x:c>
      <x:c r="D19" s="0" t="s">
        <x:v>22</x:v>
      </x:c>
      <x:c r="E19" s="0">
        <x:v>1</x:v>
      </x:c>
      <x:c r="F19" s="0">
        <x:v>7</x:v>
      </x:c>
      <x:c r="G19" s="8">
        <x:v>235.71</x:v>
      </x:c>
      <x:c r="H19" s="8">
        <x:v>1650</x:v>
      </x:c>
      <x:c r="I19" s="0" t="s">
        <x:v>23</x:v>
      </x:c>
      <x:c r="K19" s="8">
        <x:v>1650</x:v>
      </x:c>
      <x:c r="L19" s="0" t="s">
        <x:v>24</x:v>
      </x:c>
      <x:c r="M19" s="0" t="s">
        <x:v>25</x:v>
      </x:c>
      <x:c r="N19" s="0" t="s">
        <x:v>26</x:v>
      </x:c>
      <x:c r="P19" s="0" t="s">
        <x:v>27</x:v>
      </x:c>
    </x:row>
    <x:row r="20" spans="1:20">
      <x:c r="A20" s="0">
        <x:v>19</x:v>
      </x:c>
      <x:c r="B20" s="0" t="s">
        <x:v>40</x:v>
      </x:c>
      <x:c r="C20" s="0" t="s">
        <x:v>21</x:v>
      </x:c>
      <x:c r="D20" s="0" t="s">
        <x:v>22</x:v>
      </x:c>
      <x:c r="E20" s="0">
        <x:v>1</x:v>
      </x:c>
      <x:c r="F20" s="0">
        <x:v>2</x:v>
      </x:c>
      <x:c r="G20" s="8">
        <x:v>400</x:v>
      </x:c>
      <x:c r="H20" s="8">
        <x:v>800</x:v>
      </x:c>
      <x:c r="I20" s="0" t="s">
        <x:v>23</x:v>
      </x:c>
      <x:c r="K20" s="8">
        <x:v>800</x:v>
      </x:c>
      <x:c r="L20" s="0" t="s">
        <x:v>24</x:v>
      </x:c>
      <x:c r="M20" s="0" t="s">
        <x:v>25</x:v>
      </x:c>
      <x:c r="N20" s="0" t="s">
        <x:v>26</x:v>
      </x:c>
      <x:c r="P20" s="0" t="s">
        <x:v>27</x:v>
      </x:c>
    </x:row>
    <x:row r="21" spans="1:20">
      <x:c r="A21" s="0">
        <x:v>20</x:v>
      </x:c>
      <x:c r="B21" s="0" t="s">
        <x:v>41</x:v>
      </x:c>
      <x:c r="C21" s="0" t="s">
        <x:v>21</x:v>
      </x:c>
      <x:c r="D21" s="0" t="s">
        <x:v>22</x:v>
      </x:c>
      <x:c r="E21" s="0">
        <x:v>1</x:v>
      </x:c>
      <x:c r="F21" s="0">
        <x:v>2</x:v>
      </x:c>
      <x:c r="G21" s="8">
        <x:v>300</x:v>
      </x:c>
      <x:c r="H21" s="8">
        <x:v>600</x:v>
      </x:c>
      <x:c r="I21" s="0" t="s">
        <x:v>23</x:v>
      </x:c>
      <x:c r="K21" s="8">
        <x:v>600</x:v>
      </x:c>
      <x:c r="L21" s="0" t="s">
        <x:v>24</x:v>
      </x:c>
      <x:c r="M21" s="0" t="s">
        <x:v>25</x:v>
      </x:c>
      <x:c r="N21" s="0" t="s">
        <x:v>26</x:v>
      </x:c>
      <x:c r="P21" s="0" t="s">
        <x:v>27</x:v>
      </x:c>
    </x:row>
    <x:row r="22" spans="1:20">
      <x:c r="A22" s="0">
        <x:v>21</x:v>
      </x:c>
      <x:c r="B22" s="0" t="s">
        <x:v>44</x:v>
      </x:c>
      <x:c r="C22" s="0" t="s">
        <x:v>21</x:v>
      </x:c>
      <x:c r="D22" s="0" t="s">
        <x:v>22</x:v>
      </x:c>
      <x:c r="E22" s="0">
        <x:v>1</x:v>
      </x:c>
      <x:c r="F22" s="0">
        <x:v>6</x:v>
      </x:c>
      <x:c r="G22" s="8">
        <x:v>85</x:v>
      </x:c>
      <x:c r="H22" s="8">
        <x:v>510</x:v>
      </x:c>
      <x:c r="I22" s="0" t="s">
        <x:v>23</x:v>
      </x:c>
      <x:c r="K22" s="8">
        <x:v>510</x:v>
      </x:c>
      <x:c r="L22" s="0" t="s">
        <x:v>24</x:v>
      </x:c>
      <x:c r="M22" s="0" t="s">
        <x:v>25</x:v>
      </x:c>
      <x:c r="N22" s="0" t="s">
        <x:v>26</x:v>
      </x:c>
      <x:c r="P22" s="0" t="s">
        <x:v>27</x:v>
      </x:c>
    </x:row>
    <x:row r="23" spans="1:20">
      <x:c r="A23" s="0">
        <x:v>22</x:v>
      </x:c>
      <x:c r="B23" s="0" t="s">
        <x:v>45</x:v>
      </x:c>
      <x:c r="C23" s="0" t="s">
        <x:v>21</x:v>
      </x:c>
      <x:c r="D23" s="0" t="s">
        <x:v>22</x:v>
      </x:c>
      <x:c r="E23" s="0">
        <x:v>1</x:v>
      </x:c>
      <x:c r="F23" s="0">
        <x:v>3</x:v>
      </x:c>
      <x:c r="G23" s="8">
        <x:v>88.9</x:v>
      </x:c>
      <x:c r="H23" s="8">
        <x:v>266.71</x:v>
      </x:c>
      <x:c r="I23" s="0" t="s">
        <x:v>23</x:v>
      </x:c>
      <x:c r="K23" s="8">
        <x:v>266.71</x:v>
      </x:c>
      <x:c r="L23" s="0" t="s">
        <x:v>24</x:v>
      </x:c>
      <x:c r="M23" s="0" t="s">
        <x:v>25</x:v>
      </x:c>
      <x:c r="N23" s="0" t="s">
        <x:v>26</x:v>
      </x:c>
      <x:c r="P23" s="0" t="s">
        <x:v>27</x:v>
      </x:c>
    </x:row>
    <x:row r="24" spans="1:20">
      <x:c r="A24" s="0">
        <x:v>23</x:v>
      </x:c>
      <x:c r="B24" s="0" t="s">
        <x:v>46</x:v>
      </x:c>
      <x:c r="C24" s="0" t="s">
        <x:v>21</x:v>
      </x:c>
      <x:c r="D24" s="0" t="s">
        <x:v>22</x:v>
      </x:c>
      <x:c r="E24" s="0">
        <x:v>1</x:v>
      </x:c>
      <x:c r="F24" s="0">
        <x:v>2</x:v>
      </x:c>
      <x:c r="G24" s="8">
        <x:v>135</x:v>
      </x:c>
      <x:c r="H24" s="8">
        <x:v>270</x:v>
      </x:c>
      <x:c r="I24" s="0" t="s">
        <x:v>23</x:v>
      </x:c>
      <x:c r="K24" s="8">
        <x:v>270</x:v>
      </x:c>
      <x:c r="L24" s="0" t="s">
        <x:v>24</x:v>
      </x:c>
      <x:c r="M24" s="0" t="s">
        <x:v>25</x:v>
      </x:c>
      <x:c r="N24" s="0" t="s">
        <x:v>26</x:v>
      </x:c>
      <x:c r="P24" s="0" t="s">
        <x:v>27</x:v>
      </x:c>
    </x:row>
    <x:row r="25" spans="1:20">
      <x:c r="A25" s="0">
        <x:v>24</x:v>
      </x:c>
      <x:c r="B25" s="0" t="s">
        <x:v>47</x:v>
      </x:c>
      <x:c r="C25" s="0" t="s">
        <x:v>21</x:v>
      </x:c>
      <x:c r="D25" s="0" t="s">
        <x:v>22</x:v>
      </x:c>
      <x:c r="E25" s="0">
        <x:v>1</x:v>
      </x:c>
      <x:c r="F25" s="0">
        <x:v>6</x:v>
      </x:c>
      <x:c r="G25" s="8">
        <x:v>263.25</x:v>
      </x:c>
      <x:c r="H25" s="8">
        <x:v>1579.5</x:v>
      </x:c>
      <x:c r="I25" s="0" t="s">
        <x:v>23</x:v>
      </x:c>
      <x:c r="K25" s="8">
        <x:v>1579.5</x:v>
      </x:c>
      <x:c r="L25" s="0" t="s">
        <x:v>24</x:v>
      </x:c>
      <x:c r="M25" s="0" t="s">
        <x:v>25</x:v>
      </x:c>
      <x:c r="N25" s="0" t="s">
        <x:v>26</x:v>
      </x:c>
      <x:c r="P25" s="0" t="s">
        <x:v>27</x:v>
      </x:c>
    </x:row>
    <x:row r="26" spans="1:20">
      <x:c r="A26" s="0">
        <x:v>25</x:v>
      </x:c>
      <x:c r="B26" s="0" t="s">
        <x:v>71</x:v>
      </x:c>
      <x:c r="C26" s="0" t="s">
        <x:v>21</x:v>
      </x:c>
      <x:c r="D26" s="0" t="s">
        <x:v>22</x:v>
      </x:c>
      <x:c r="E26" s="0">
        <x:v>1</x:v>
      </x:c>
      <x:c r="F26" s="0">
        <x:v>2</x:v>
      </x:c>
      <x:c r="G26" s="8">
        <x:v>150</x:v>
      </x:c>
      <x:c r="H26" s="8">
        <x:v>300</x:v>
      </x:c>
      <x:c r="I26" s="0" t="s">
        <x:v>23</x:v>
      </x:c>
      <x:c r="K26" s="8">
        <x:v>300</x:v>
      </x:c>
      <x:c r="L26" s="0" t="s">
        <x:v>24</x:v>
      </x:c>
      <x:c r="M26" s="0" t="s">
        <x:v>25</x:v>
      </x:c>
      <x:c r="N26" s="0" t="s">
        <x:v>26</x:v>
      </x:c>
      <x:c r="P26" s="0" t="s">
        <x:v>27</x:v>
      </x:c>
    </x:row>
    <x:row r="27" spans="1:20">
      <x:c r="A27" s="0">
        <x:v>26</x:v>
      </x:c>
      <x:c r="B27" s="0" t="s">
        <x:v>95</x:v>
      </x:c>
      <x:c r="C27" s="0" t="s">
        <x:v>21</x:v>
      </x:c>
      <x:c r="D27" s="0" t="s">
        <x:v>22</x:v>
      </x:c>
      <x:c r="E27" s="0">
        <x:v>1</x:v>
      </x:c>
      <x:c r="F27" s="0">
        <x:v>1</x:v>
      </x:c>
      <x:c r="G27" s="8">
        <x:v>254.88</x:v>
      </x:c>
      <x:c r="H27" s="8">
        <x:v>254.88</x:v>
      </x:c>
      <x:c r="I27" s="0" t="s">
        <x:v>23</x:v>
      </x:c>
      <x:c r="K27" s="8">
        <x:v>254.88</x:v>
      </x:c>
      <x:c r="L27" s="0" t="s">
        <x:v>24</x:v>
      </x:c>
      <x:c r="M27" s="0" t="s">
        <x:v>25</x:v>
      </x:c>
      <x:c r="N27" s="0" t="s">
        <x:v>26</x:v>
      </x:c>
      <x:c r="P27" s="0" t="s">
        <x:v>27</x:v>
      </x:c>
    </x:row>
    <x:row r="28" spans="1:20">
      <x:c r="A28" s="0">
        <x:v>27</x:v>
      </x:c>
      <x:c r="B28" s="0" t="s">
        <x:v>72</x:v>
      </x:c>
      <x:c r="C28" s="0" t="s">
        <x:v>21</x:v>
      </x:c>
      <x:c r="D28" s="0" t="s">
        <x:v>22</x:v>
      </x:c>
      <x:c r="E28" s="0">
        <x:v>1</x:v>
      </x:c>
      <x:c r="F28" s="0">
        <x:v>2</x:v>
      </x:c>
      <x:c r="G28" s="8">
        <x:v>30</x:v>
      </x:c>
      <x:c r="H28" s="8">
        <x:v>60</x:v>
      </x:c>
      <x:c r="I28" s="0" t="s">
        <x:v>23</x:v>
      </x:c>
      <x:c r="K28" s="8">
        <x:v>60</x:v>
      </x:c>
      <x:c r="L28" s="0" t="s">
        <x:v>24</x:v>
      </x:c>
      <x:c r="M28" s="0" t="s">
        <x:v>25</x:v>
      </x:c>
      <x:c r="N28" s="0" t="s">
        <x:v>26</x:v>
      </x:c>
      <x:c r="P28" s="0" t="s">
        <x:v>27</x:v>
      </x:c>
    </x:row>
    <x:row r="29" spans="1:20">
      <x:c r="A29" s="0">
        <x:v>28</x:v>
      </x:c>
      <x:c r="B29" s="0" t="s">
        <x:v>108</x:v>
      </x:c>
      <x:c r="C29" s="0" t="s">
        <x:v>21</x:v>
      </x:c>
      <x:c r="D29" s="0" t="s">
        <x:v>34</x:v>
      </x:c>
      <x:c r="E29" s="0">
        <x:v>1</x:v>
      </x:c>
      <x:c r="F29" s="0">
        <x:v>0.1</x:v>
      </x:c>
      <x:c r="G29" s="8">
        <x:v>3584</x:v>
      </x:c>
      <x:c r="H29" s="8">
        <x:v>358.4</x:v>
      </x:c>
      <x:c r="I29" s="0" t="s">
        <x:v>23</x:v>
      </x:c>
      <x:c r="K29" s="8">
        <x:v>358.4</x:v>
      </x:c>
      <x:c r="L29" s="0" t="s">
        <x:v>24</x:v>
      </x:c>
      <x:c r="M29" s="0" t="s">
        <x:v>25</x:v>
      </x:c>
      <x:c r="N29" s="0" t="s">
        <x:v>26</x:v>
      </x:c>
      <x:c r="P29" s="0" t="s">
        <x:v>27</x:v>
      </x:c>
    </x:row>
    <x:row r="30" spans="1:20">
      <x:c r="A30" s="0">
        <x:v>29</x:v>
      </x:c>
      <x:c r="B30" s="0" t="s">
        <x:v>109</x:v>
      </x:c>
      <x:c r="C30" s="0" t="s">
        <x:v>21</x:v>
      </x:c>
      <x:c r="D30" s="0" t="s">
        <x:v>22</x:v>
      </x:c>
      <x:c r="E30" s="0">
        <x:v>1</x:v>
      </x:c>
      <x:c r="F30" s="0">
        <x:v>1</x:v>
      </x:c>
      <x:c r="G30" s="8">
        <x:v>88</x:v>
      </x:c>
      <x:c r="H30" s="8">
        <x:v>88</x:v>
      </x:c>
      <x:c r="I30" s="0" t="s">
        <x:v>23</x:v>
      </x:c>
      <x:c r="K30" s="8">
        <x:v>88</x:v>
      </x:c>
      <x:c r="L30" s="0" t="s">
        <x:v>24</x:v>
      </x:c>
      <x:c r="M30" s="0" t="s">
        <x:v>25</x:v>
      </x:c>
      <x:c r="N30" s="0" t="s">
        <x:v>26</x:v>
      </x:c>
      <x:c r="P30" s="0" t="s">
        <x:v>27</x:v>
      </x:c>
    </x:row>
    <x:row r="31" spans="1:20">
      <x:c r="A31" s="0">
        <x:v>30</x:v>
      </x:c>
      <x:c r="B31" s="0" t="s">
        <x:v>51</x:v>
      </x:c>
      <x:c r="C31" s="0" t="s">
        <x:v>21</x:v>
      </x:c>
      <x:c r="D31" s="0" t="s">
        <x:v>22</x:v>
      </x:c>
      <x:c r="E31" s="0">
        <x:v>1</x:v>
      </x:c>
      <x:c r="F31" s="0">
        <x:v>10</x:v>
      </x:c>
      <x:c r="G31" s="8">
        <x:v>57.29</x:v>
      </x:c>
      <x:c r="H31" s="8">
        <x:v>572.91</x:v>
      </x:c>
      <x:c r="I31" s="0" t="s">
        <x:v>23</x:v>
      </x:c>
      <x:c r="K31" s="8">
        <x:v>572.91</x:v>
      </x:c>
      <x:c r="L31" s="0" t="s">
        <x:v>24</x:v>
      </x:c>
      <x:c r="M31" s="0" t="s">
        <x:v>25</x:v>
      </x:c>
      <x:c r="N31" s="0" t="s">
        <x:v>26</x:v>
      </x:c>
      <x:c r="P31" s="0" t="s">
        <x:v>27</x:v>
      </x:c>
    </x:row>
    <x:row r="32" spans="1:20">
      <x:c r="A32" s="0">
        <x:v>31</x:v>
      </x:c>
      <x:c r="B32" s="0" t="s">
        <x:v>52</x:v>
      </x:c>
      <x:c r="C32" s="0" t="s">
        <x:v>21</x:v>
      </x:c>
      <x:c r="D32" s="0" t="s">
        <x:v>22</x:v>
      </x:c>
      <x:c r="E32" s="0">
        <x:v>1</x:v>
      </x:c>
      <x:c r="F32" s="0">
        <x:v>3</x:v>
      </x:c>
      <x:c r="G32" s="8">
        <x:v>256.5</x:v>
      </x:c>
      <x:c r="H32" s="8">
        <x:v>769.5</x:v>
      </x:c>
      <x:c r="I32" s="0" t="s">
        <x:v>23</x:v>
      </x:c>
      <x:c r="K32" s="8">
        <x:v>769.5</x:v>
      </x:c>
      <x:c r="L32" s="0" t="s">
        <x:v>24</x:v>
      </x:c>
      <x:c r="M32" s="0" t="s">
        <x:v>25</x:v>
      </x:c>
      <x:c r="N32" s="0" t="s">
        <x:v>26</x:v>
      </x:c>
      <x:c r="P32" s="0" t="s">
        <x:v>27</x:v>
      </x:c>
    </x:row>
    <x:row r="33" spans="1:20">
      <x:c r="A33" s="0">
        <x:v>32</x:v>
      </x:c>
      <x:c r="B33" s="0" t="s">
        <x:v>53</x:v>
      </x:c>
      <x:c r="C33" s="0" t="s">
        <x:v>21</x:v>
      </x:c>
      <x:c r="D33" s="0" t="s">
        <x:v>22</x:v>
      </x:c>
      <x:c r="E33" s="0">
        <x:v>1</x:v>
      </x:c>
      <x:c r="F33" s="0">
        <x:v>7</x:v>
      </x:c>
      <x:c r="G33" s="8">
        <x:v>40</x:v>
      </x:c>
      <x:c r="H33" s="8">
        <x:v>280</x:v>
      </x:c>
      <x:c r="I33" s="0" t="s">
        <x:v>23</x:v>
      </x:c>
      <x:c r="K33" s="8">
        <x:v>280</x:v>
      </x:c>
      <x:c r="L33" s="0" t="s">
        <x:v>24</x:v>
      </x:c>
      <x:c r="M33" s="0" t="s">
        <x:v>25</x:v>
      </x:c>
      <x:c r="N33" s="0" t="s">
        <x:v>26</x:v>
      </x:c>
      <x:c r="P33" s="0" t="s">
        <x:v>27</x:v>
      </x:c>
    </x:row>
    <x:row r="34" spans="1:20">
      <x:c r="A34" s="0">
        <x:v>33</x:v>
      </x:c>
      <x:c r="B34" s="0" t="s">
        <x:v>54</x:v>
      </x:c>
      <x:c r="C34" s="0" t="s">
        <x:v>21</x:v>
      </x:c>
      <x:c r="D34" s="0" t="s">
        <x:v>22</x:v>
      </x:c>
      <x:c r="E34" s="0">
        <x:v>1</x:v>
      </x:c>
      <x:c r="F34" s="0">
        <x:v>1</x:v>
      </x:c>
      <x:c r="G34" s="8">
        <x:v>230</x:v>
      </x:c>
      <x:c r="H34" s="8">
        <x:v>230</x:v>
      </x:c>
      <x:c r="I34" s="0" t="s">
        <x:v>23</x:v>
      </x:c>
      <x:c r="K34" s="8">
        <x:v>230</x:v>
      </x:c>
      <x:c r="L34" s="0" t="s">
        <x:v>24</x:v>
      </x:c>
      <x:c r="M34" s="0" t="s">
        <x:v>25</x:v>
      </x:c>
      <x:c r="N34" s="0" t="s">
        <x:v>26</x:v>
      </x:c>
      <x:c r="P34" s="0" t="s">
        <x:v>27</x:v>
      </x:c>
    </x:row>
    <x:row r="35" spans="1:20">
      <x:c r="A35" s="0">
        <x:v>34</x:v>
      </x:c>
      <x:c r="B35" s="0" t="s">
        <x:v>55</x:v>
      </x:c>
      <x:c r="C35" s="0" t="s">
        <x:v>21</x:v>
      </x:c>
      <x:c r="D35" s="0" t="s">
        <x:v>22</x:v>
      </x:c>
      <x:c r="E35" s="0">
        <x:v>1</x:v>
      </x:c>
      <x:c r="F35" s="0">
        <x:v>5</x:v>
      </x:c>
      <x:c r="G35" s="8">
        <x:v>339.47</x:v>
      </x:c>
      <x:c r="H35" s="8">
        <x:v>1697.36</x:v>
      </x:c>
      <x:c r="I35" s="0" t="s">
        <x:v>23</x:v>
      </x:c>
      <x:c r="K35" s="8">
        <x:v>1697.36</x:v>
      </x:c>
      <x:c r="L35" s="0" t="s">
        <x:v>24</x:v>
      </x:c>
      <x:c r="M35" s="0" t="s">
        <x:v>25</x:v>
      </x:c>
      <x:c r="N35" s="0" t="s">
        <x:v>26</x:v>
      </x:c>
      <x:c r="P35" s="0" t="s">
        <x:v>27</x:v>
      </x:c>
    </x:row>
    <x:row r="36" spans="1:20">
      <x:c r="A36" s="0">
        <x:v>35</x:v>
      </x:c>
      <x:c r="B36" s="0" t="s">
        <x:v>57</x:v>
      </x:c>
      <x:c r="C36" s="0" t="s">
        <x:v>21</x:v>
      </x:c>
      <x:c r="D36" s="0" t="s">
        <x:v>22</x:v>
      </x:c>
      <x:c r="E36" s="0">
        <x:v>1</x:v>
      </x:c>
      <x:c r="F36" s="0">
        <x:v>3</x:v>
      </x:c>
      <x:c r="G36" s="8">
        <x:v>142.48</x:v>
      </x:c>
      <x:c r="H36" s="8">
        <x:v>427.44</x:v>
      </x:c>
      <x:c r="I36" s="0" t="s">
        <x:v>23</x:v>
      </x:c>
      <x:c r="K36" s="8">
        <x:v>427.44</x:v>
      </x:c>
      <x:c r="L36" s="0" t="s">
        <x:v>24</x:v>
      </x:c>
      <x:c r="M36" s="0" t="s">
        <x:v>25</x:v>
      </x:c>
      <x:c r="N36" s="0" t="s">
        <x:v>26</x:v>
      </x:c>
      <x:c r="P36" s="0" t="s">
        <x:v>27</x:v>
      </x:c>
    </x:row>
    <x:row r="37" spans="1:20">
      <x:c r="A37" s="0">
        <x:v>36</x:v>
      </x:c>
      <x:c r="B37" s="0" t="s">
        <x:v>58</x:v>
      </x:c>
      <x:c r="C37" s="0" t="s">
        <x:v>21</x:v>
      </x:c>
      <x:c r="D37" s="0" t="s">
        <x:v>22</x:v>
      </x:c>
      <x:c r="E37" s="0">
        <x:v>1</x:v>
      </x:c>
      <x:c r="F37" s="0">
        <x:v>1</x:v>
      </x:c>
      <x:c r="G37" s="8">
        <x:v>238</x:v>
      </x:c>
      <x:c r="H37" s="8">
        <x:v>238</x:v>
      </x:c>
      <x:c r="I37" s="0" t="s">
        <x:v>23</x:v>
      </x:c>
      <x:c r="K37" s="8">
        <x:v>238</x:v>
      </x:c>
      <x:c r="L37" s="0" t="s">
        <x:v>24</x:v>
      </x:c>
      <x:c r="M37" s="0" t="s">
        <x:v>25</x:v>
      </x:c>
      <x:c r="N37" s="0" t="s">
        <x:v>26</x:v>
      </x:c>
      <x:c r="P37" s="0" t="s">
        <x:v>27</x:v>
      </x:c>
    </x:row>
    <x:row r="38" spans="1:20">
      <x:c r="A38" s="0">
        <x:v>37</x:v>
      </x:c>
      <x:c r="B38" s="0" t="s">
        <x:v>60</x:v>
      </x:c>
      <x:c r="C38" s="0" t="s">
        <x:v>21</x:v>
      </x:c>
      <x:c r="D38" s="0" t="s">
        <x:v>22</x:v>
      </x:c>
      <x:c r="E38" s="0">
        <x:v>1</x:v>
      </x:c>
      <x:c r="F38" s="0">
        <x:v>1</x:v>
      </x:c>
      <x:c r="G38" s="8">
        <x:v>150</x:v>
      </x:c>
      <x:c r="H38" s="8">
        <x:v>150</x:v>
      </x:c>
      <x:c r="I38" s="0" t="s">
        <x:v>23</x:v>
      </x:c>
      <x:c r="K38" s="8">
        <x:v>150</x:v>
      </x:c>
      <x:c r="L38" s="0" t="s">
        <x:v>24</x:v>
      </x:c>
      <x:c r="M38" s="0" t="s">
        <x:v>25</x:v>
      </x:c>
      <x:c r="N38" s="0" t="s">
        <x:v>26</x:v>
      </x:c>
      <x:c r="P38" s="0" t="s">
        <x:v>27</x:v>
      </x:c>
    </x:row>
    <x:row r="39" spans="1:20">
      <x:c r="H39" s="18">
        <x:f>SUM(H2:H38)</x:f>
      </x:c>
    </x:row>
    <x:row r="41" spans="1:20">
      <x:c r="B41" s="19" t="s">
        <x:v>163</x:v>
      </x:c>
      <x:c r="C41" s="20"/>
      <x:c r="D41" s="20"/>
      <x:c r="E41" s="20"/>
      <x:c r="F41" s="20"/>
      <x:c r="G41" s="20"/>
      <x:c r="H41" s="21">
        <x:f>SUM(H42:H44)</x:f>
      </x:c>
      <x:c r="I41" s="22" t="s">
        <x:v>164</x:v>
      </x:c>
    </x:row>
    <x:row r="42" spans="1:20">
      <x:c r="B42" s="21" t="s">
        <x:v>165</x:v>
      </x:c>
      <x:c r="C42" s="21"/>
      <x:c r="D42" s="21"/>
      <x:c r="E42" s="21"/>
      <x:c r="F42" s="20">
        <x:f>F2+F3+F5+F6+F7+F17+F18+F19+F20+F21+F25+F26+F27+F32+F36+F37+F38</x:f>
      </x:c>
      <x:c r="G42" s="20">
        <x:f>G2+G3+G5+G6+G7+G17+G18+G19+G20+G21+G25+G26+G27+G32+G36+G37+G38</x:f>
      </x:c>
      <x:c r="H42" s="20">
        <x:f>H2+H3+H5+H6+H7+H17+H18+H19+H20+H21+H25+H26+H27+H32+H36+H37+H38</x:f>
      </x:c>
      <x:c r="I42" s="15"/>
    </x:row>
    <x:row r="43" spans="1:20">
      <x:c r="B43" s="21" t="s">
        <x:v>166</x:v>
      </x:c>
      <x:c r="C43" s="21"/>
      <x:c r="D43" s="21"/>
      <x:c r="E43" s="21"/>
      <x:c r="F43" s="20"/>
      <x:c r="G43" s="20"/>
      <x:c r="H43" s="20"/>
      <x:c r="I43" s="15"/>
    </x:row>
    <x:row r="44" spans="1:20">
      <x:c r="B44" s="21" t="s">
        <x:v>167</x:v>
      </x:c>
      <x:c r="C44" s="21"/>
      <x:c r="D44" s="21"/>
      <x:c r="E44" s="21"/>
      <x:c r="F44" s="20">
        <x:f>F8+F28+F31+F33</x:f>
      </x:c>
      <x:c r="G44" s="20">
        <x:f>G8+G28+G31+G33</x:f>
      </x:c>
      <x:c r="H44" s="20">
        <x:f>H8+H28+H31+H33</x:f>
      </x:c>
      <x:c r="I44" s="15"/>
    </x:row>
    <x:row r="45" spans="1:20">
      <x:c r="B45" s="19" t="s">
        <x:v>168</x:v>
      </x:c>
      <x:c r="C45" s="20"/>
      <x:c r="D45" s="20"/>
      <x:c r="E45" s="20"/>
      <x:c r="F45" s="20"/>
      <x:c r="G45" s="20"/>
      <x:c r="H45" s="21">
        <x:f>SUM(H46:H52)</x:f>
      </x:c>
      <x:c r="I45" s="22" t="s">
        <x:v>169</x:v>
      </x:c>
    </x:row>
    <x:row r="46" spans="1:20">
      <x:c r="B46" s="21" t="s">
        <x:v>170</x:v>
      </x:c>
      <x:c r="C46" s="21"/>
      <x:c r="D46" s="21"/>
      <x:c r="E46" s="21"/>
      <x:c r="F46" s="20">
        <x:f>F10+F11+F12+F13+F14+F15+F16</x:f>
      </x:c>
      <x:c r="G46" s="20">
        <x:f>G10+G11+G12+G13+G14+G15+G16</x:f>
      </x:c>
      <x:c r="H46" s="20">
        <x:f>H10+H11+H12+H13+H14+H15+H16</x:f>
      </x:c>
      <x:c r="I46" s="15"/>
    </x:row>
    <x:row r="47" spans="1:20">
      <x:c r="B47" s="21" t="s">
        <x:v>171</x:v>
      </x:c>
      <x:c r="C47" s="21"/>
      <x:c r="D47" s="21"/>
      <x:c r="E47" s="21"/>
      <x:c r="F47" s="20"/>
      <x:c r="G47" s="20"/>
      <x:c r="H47" s="20"/>
      <x:c r="I47" s="15"/>
    </x:row>
    <x:row r="48" spans="1:20">
      <x:c r="B48" s="21" t="s">
        <x:v>172</x:v>
      </x:c>
      <x:c r="C48" s="21"/>
      <x:c r="D48" s="21"/>
      <x:c r="E48" s="21"/>
      <x:c r="F48" s="20">
        <x:f>F9</x:f>
      </x:c>
      <x:c r="G48" s="20">
        <x:f>G9</x:f>
      </x:c>
      <x:c r="H48" s="20">
        <x:f>H9</x:f>
      </x:c>
      <x:c r="I48" s="15"/>
    </x:row>
    <x:row r="49" spans="1:20">
      <x:c r="B49" s="21" t="s">
        <x:v>173</x:v>
      </x:c>
      <x:c r="C49" s="21"/>
      <x:c r="D49" s="21"/>
      <x:c r="E49" s="21"/>
      <x:c r="F49" s="20">
        <x:f>F4+F29</x:f>
      </x:c>
      <x:c r="G49" s="20">
        <x:f>G4+G29</x:f>
      </x:c>
      <x:c r="H49" s="20">
        <x:f>H4+H29</x:f>
      </x:c>
      <x:c r="I49" s="15"/>
    </x:row>
    <x:row r="50" spans="1:20">
      <x:c r="B50" s="21" t="s">
        <x:v>174</x:v>
      </x:c>
      <x:c r="C50" s="21"/>
      <x:c r="D50" s="21"/>
      <x:c r="E50" s="21"/>
      <x:c r="F50" s="20">
        <x:f>F30</x:f>
      </x:c>
      <x:c r="G50" s="20">
        <x:f>G30</x:f>
      </x:c>
      <x:c r="H50" s="20">
        <x:f>H30</x:f>
      </x:c>
      <x:c r="I50" s="15"/>
    </x:row>
    <x:row r="51" spans="1:20">
      <x:c r="B51" s="21" t="s">
        <x:v>70</x:v>
      </x:c>
      <x:c r="C51" s="21"/>
      <x:c r="D51" s="21"/>
      <x:c r="E51" s="21"/>
      <x:c r="F51" s="20"/>
      <x:c r="G51" s="20"/>
      <x:c r="H51" s="20"/>
      <x:c r="I51" s="15"/>
    </x:row>
    <x:row r="52" spans="1:20">
      <x:c r="B52" s="21" t="s">
        <x:v>175</x:v>
      </x:c>
      <x:c r="C52" s="21"/>
      <x:c r="D52" s="21"/>
      <x:c r="E52" s="21"/>
      <x:c r="F52" s="20"/>
      <x:c r="G52" s="20"/>
      <x:c r="H52" s="20"/>
      <x:c r="I52" s="15"/>
    </x:row>
    <x:row r="53" spans="1:20">
      <x:c r="B53" s="19" t="s">
        <x:v>176</x:v>
      </x:c>
      <x:c r="C53" s="20"/>
      <x:c r="D53" s="20"/>
      <x:c r="E53" s="20"/>
      <x:c r="F53" s="20"/>
      <x:c r="G53" s="20"/>
      <x:c r="H53" s="21">
        <x:f>SUM(H54:H59)</x:f>
      </x:c>
      <x:c r="I53" s="22" t="s">
        <x:v>177</x:v>
      </x:c>
    </x:row>
    <x:row r="54" spans="1:20">
      <x:c r="B54" s="21" t="s">
        <x:v>178</x:v>
      </x:c>
      <x:c r="C54" s="21"/>
      <x:c r="D54" s="21"/>
      <x:c r="E54" s="21"/>
      <x:c r="F54" s="20"/>
      <x:c r="G54" s="20"/>
      <x:c r="H54" s="20"/>
      <x:c r="I54" s="15"/>
    </x:row>
    <x:row r="55" spans="1:20">
      <x:c r="B55" s="21" t="s">
        <x:v>179</x:v>
      </x:c>
      <x:c r="C55" s="21"/>
      <x:c r="D55" s="21"/>
      <x:c r="E55" s="21"/>
      <x:c r="F55" s="20">
        <x:f>F35</x:f>
      </x:c>
      <x:c r="G55" s="20">
        <x:f>G35</x:f>
      </x:c>
      <x:c r="H55" s="20">
        <x:f>H35</x:f>
      </x:c>
      <x:c r="I55" s="15"/>
    </x:row>
    <x:row r="56" spans="1:20">
      <x:c r="B56" s="21" t="s">
        <x:v>54</x:v>
      </x:c>
      <x:c r="C56" s="21"/>
      <x:c r="D56" s="21"/>
      <x:c r="E56" s="21"/>
      <x:c r="F56" s="20">
        <x:f>F34</x:f>
      </x:c>
      <x:c r="G56" s="20">
        <x:f>G34</x:f>
      </x:c>
      <x:c r="H56" s="20">
        <x:f>H34</x:f>
      </x:c>
      <x:c r="I56" s="15"/>
    </x:row>
    <x:row r="57" spans="1:20">
      <x:c r="B57" s="21" t="s">
        <x:v>180</x:v>
      </x:c>
      <x:c r="C57" s="21"/>
      <x:c r="D57" s="21"/>
      <x:c r="E57" s="21"/>
      <x:c r="F57" s="20"/>
      <x:c r="G57" s="20"/>
      <x:c r="H57" s="20"/>
      <x:c r="I57" s="15"/>
    </x:row>
    <x:row r="58" spans="1:20">
      <x:c r="B58" s="21" t="s">
        <x:v>181</x:v>
      </x:c>
      <x:c r="C58" s="21"/>
      <x:c r="D58" s="21"/>
      <x:c r="E58" s="21"/>
      <x:c r="F58" s="20">
        <x:f>F23+F24</x:f>
      </x:c>
      <x:c r="G58" s="20">
        <x:f>G23+G24</x:f>
      </x:c>
      <x:c r="H58" s="20">
        <x:f>H23+H24</x:f>
      </x:c>
      <x:c r="I58" s="15"/>
    </x:row>
    <x:row r="59" spans="1:20">
      <x:c r="B59" s="21" t="s">
        <x:v>182</x:v>
      </x:c>
      <x:c r="C59" s="21"/>
      <x:c r="D59" s="21"/>
      <x:c r="E59" s="21"/>
      <x:c r="F59" s="20">
        <x:f>F22</x:f>
      </x:c>
      <x:c r="G59" s="20">
        <x:f>G22</x:f>
      </x:c>
      <x:c r="H59" s="20">
        <x:f>H22</x:f>
      </x:c>
      <x:c r="I59" s="15"/>
    </x:row>
    <x:row r="60" spans="1:20">
      <x:c r="B60" s="19" t="s">
        <x:v>183</x:v>
      </x:c>
      <x:c r="C60" s="20"/>
      <x:c r="D60" s="20"/>
      <x:c r="E60" s="20"/>
      <x:c r="F60" s="20"/>
      <x:c r="G60" s="20"/>
      <x:c r="H60" s="21">
        <x:f>SUM(H61:H62)</x:f>
      </x:c>
      <x:c r="I60" s="22"/>
    </x:row>
    <x:row r="61" spans="1:20">
      <x:c r="B61" s="21" t="s">
        <x:v>184</x:v>
      </x:c>
      <x:c r="C61" s="21"/>
      <x:c r="D61" s="21"/>
      <x:c r="E61" s="21"/>
      <x:c r="F61" s="20"/>
      <x:c r="G61" s="20"/>
      <x:c r="H61" s="20"/>
      <x:c r="I61" s="15"/>
    </x:row>
    <x:row r="62" spans="1:20">
      <x:c r="B62" s="21" t="s">
        <x:v>185</x:v>
      </x:c>
      <x:c r="C62" s="21"/>
      <x:c r="D62" s="21"/>
      <x:c r="E62" s="21"/>
      <x:c r="F62" s="20"/>
      <x:c r="G62" s="20"/>
      <x:c r="H62" s="20"/>
      <x:c r="I62" s="15"/>
    </x:row>
    <x:row r="63" spans="1:20">
      <x:c r="B63" s="22"/>
      <x:c r="C63" s="22"/>
      <x:c r="D63" s="22"/>
      <x:c r="E63" s="22"/>
      <x:c r="F63" s="15"/>
      <x:c r="G63" s="15"/>
      <x:c r="H63" s="22">
        <x:f>H41+H45+H53+H60</x:f>
      </x:c>
      <x:c r="I63" s="15"/>
    </x:row>
    <x:row r="64" spans="1:20">
      <x:c r="H64" s="17">
        <x:f>H63 - H39</x:f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B263D82-1F16-1346-BE51-471CF0BF8379}" mc:Ignorable="x14ac xr xr2 xr3">
  <x:sheetPr>
    <x:outlinePr summaryBelow="1" summaryRight="1"/>
  </x:sheetPr>
  <x:dimension ref="A1:T32"/>
  <x:sheetViews>
    <x:sheetView topLeftCell="A30" zoomScale="121" zoomScaleNormal="121" workbookViewId="0">
      <x:selection activeCell="A33" sqref="A33 A33:I60"/>
    </x:sheetView>
  </x:sheetViews>
  <x:sheetFormatPr defaultColWidth="11.210625" defaultRowHeight="15.75"/>
  <x:cols>
    <x:col min="1" max="1" width="11.210625" style="0" customWidth="1"/>
    <x:col min="2" max="2" width="35.125" style="0" customWidth="1"/>
    <x:col min="3" max="3" width="2.5" style="0" customWidth="1"/>
    <x:col min="4" max="5" width="1.875" style="0" customWidth="1"/>
  </x:cols>
  <x:sheetData>
    <x:row r="1" spans="1:2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</x:row>
    <x:row r="2" spans="1:20">
      <x:c r="A2" s="0">
        <x:v>1</x:v>
      </x:c>
      <x:c r="B2" s="0" t="s">
        <x:v>20</x:v>
      </x:c>
      <x:c r="C2" s="0" t="s">
        <x:v>21</x:v>
      </x:c>
      <x:c r="D2" s="0" t="s">
        <x:v>22</x:v>
      </x:c>
      <x:c r="E2" s="0">
        <x:v>1</x:v>
      </x:c>
      <x:c r="F2" s="0">
        <x:v>1</x:v>
      </x:c>
      <x:c r="G2" s="8">
        <x:v>150</x:v>
      </x:c>
      <x:c r="H2" s="8">
        <x:v>150</x:v>
      </x:c>
      <x:c r="I2" s="0" t="s">
        <x:v>23</x:v>
      </x:c>
      <x:c r="K2" s="8">
        <x:v>150</x:v>
      </x:c>
      <x:c r="L2" s="0" t="s">
        <x:v>24</x:v>
      </x:c>
      <x:c r="M2" s="0" t="s">
        <x:v>25</x:v>
      </x:c>
      <x:c r="N2" s="0" t="s">
        <x:v>26</x:v>
      </x:c>
      <x:c r="P2" s="0" t="s">
        <x:v>27</x:v>
      </x:c>
    </x:row>
    <x:row r="3" spans="1:20">
      <x:c r="A3" s="0">
        <x:v>2</x:v>
      </x:c>
      <x:c r="B3" s="0" t="s">
        <x:v>121</x:v>
      </x:c>
      <x:c r="C3" s="0" t="s">
        <x:v>21</x:v>
      </x:c>
      <x:c r="D3" s="0" t="s">
        <x:v>22</x:v>
      </x:c>
      <x:c r="E3" s="0">
        <x:v>1</x:v>
      </x:c>
      <x:c r="F3" s="0">
        <x:v>1</x:v>
      </x:c>
      <x:c r="G3" s="8">
        <x:v>127.5</x:v>
      </x:c>
      <x:c r="H3" s="8">
        <x:v>127.5</x:v>
      </x:c>
      <x:c r="I3" s="0" t="s">
        <x:v>23</x:v>
      </x:c>
      <x:c r="K3" s="8">
        <x:v>127.5</x:v>
      </x:c>
      <x:c r="L3" s="0" t="s">
        <x:v>24</x:v>
      </x:c>
      <x:c r="M3" s="0" t="s">
        <x:v>25</x:v>
      </x:c>
      <x:c r="N3" s="0" t="s">
        <x:v>26</x:v>
      </x:c>
      <x:c r="P3" s="0" t="s">
        <x:v>27</x:v>
      </x:c>
    </x:row>
    <x:row r="4" spans="1:20">
      <x:c r="A4" s="0">
        <x:v>3</x:v>
      </x:c>
      <x:c r="B4" s="0" t="s">
        <x:v>122</x:v>
      </x:c>
      <x:c r="C4" s="0" t="s">
        <x:v>21</x:v>
      </x:c>
      <x:c r="D4" s="0" t="s">
        <x:v>22</x:v>
      </x:c>
      <x:c r="E4" s="0">
        <x:v>1</x:v>
      </x:c>
      <x:c r="F4" s="0">
        <x:v>1</x:v>
      </x:c>
      <x:c r="G4" s="8">
        <x:v>297.1</x:v>
      </x:c>
      <x:c r="H4" s="8">
        <x:v>297.1</x:v>
      </x:c>
      <x:c r="I4" s="0" t="s">
        <x:v>23</x:v>
      </x:c>
      <x:c r="K4" s="8">
        <x:v>297.1</x:v>
      </x:c>
      <x:c r="L4" s="0" t="s">
        <x:v>24</x:v>
      </x:c>
      <x:c r="M4" s="0" t="s">
        <x:v>25</x:v>
      </x:c>
      <x:c r="N4" s="0" t="s">
        <x:v>26</x:v>
      </x:c>
      <x:c r="P4" s="0" t="s">
        <x:v>27</x:v>
      </x:c>
    </x:row>
    <x:row r="5" spans="1:20">
      <x:c r="A5" s="0">
        <x:v>4</x:v>
      </x:c>
      <x:c r="B5" s="0" t="s">
        <x:v>29</x:v>
      </x:c>
      <x:c r="C5" s="0" t="s">
        <x:v>21</x:v>
      </x:c>
      <x:c r="D5" s="0" t="s">
        <x:v>22</x:v>
      </x:c>
      <x:c r="E5" s="0">
        <x:v>1</x:v>
      </x:c>
      <x:c r="F5" s="0">
        <x:v>8</x:v>
      </x:c>
      <x:c r="G5" s="8">
        <x:v>235.94</x:v>
      </x:c>
      <x:c r="H5" s="8">
        <x:v>1887.5</x:v>
      </x:c>
      <x:c r="I5" s="0" t="s">
        <x:v>23</x:v>
      </x:c>
      <x:c r="K5" s="8">
        <x:v>1887.5</x:v>
      </x:c>
      <x:c r="L5" s="0" t="s">
        <x:v>24</x:v>
      </x:c>
      <x:c r="M5" s="0" t="s">
        <x:v>25</x:v>
      </x:c>
      <x:c r="N5" s="0" t="s">
        <x:v>26</x:v>
      </x:c>
      <x:c r="P5" s="0" t="s">
        <x:v>27</x:v>
      </x:c>
    </x:row>
    <x:row r="6" spans="1:20">
      <x:c r="A6" s="0">
        <x:v>5</x:v>
      </x:c>
      <x:c r="B6" s="0" t="s">
        <x:v>30</x:v>
      </x:c>
      <x:c r="C6" s="0" t="s">
        <x:v>21</x:v>
      </x:c>
      <x:c r="D6" s="0" t="s">
        <x:v>22</x:v>
      </x:c>
      <x:c r="E6" s="0">
        <x:v>1</x:v>
      </x:c>
      <x:c r="F6" s="0">
        <x:v>13</x:v>
      </x:c>
      <x:c r="G6" s="8">
        <x:v>289.8</x:v>
      </x:c>
      <x:c r="H6" s="8">
        <x:v>3767.43</x:v>
      </x:c>
      <x:c r="I6" s="0" t="s">
        <x:v>23</x:v>
      </x:c>
      <x:c r="K6" s="8">
        <x:v>3767.43</x:v>
      </x:c>
      <x:c r="L6" s="0" t="s">
        <x:v>24</x:v>
      </x:c>
      <x:c r="M6" s="0" t="s">
        <x:v>25</x:v>
      </x:c>
      <x:c r="N6" s="0" t="s">
        <x:v>26</x:v>
      </x:c>
      <x:c r="P6" s="0" t="s">
        <x:v>27</x:v>
      </x:c>
    </x:row>
    <x:row r="7" spans="1:20">
      <x:c r="A7" s="0">
        <x:v>6</x:v>
      </x:c>
      <x:c r="B7" s="0" t="s">
        <x:v>31</x:v>
      </x:c>
      <x:c r="C7" s="0" t="s">
        <x:v>21</x:v>
      </x:c>
      <x:c r="D7" s="0" t="s">
        <x:v>22</x:v>
      </x:c>
      <x:c r="E7" s="0">
        <x:v>1</x:v>
      </x:c>
      <x:c r="F7" s="0">
        <x:v>1</x:v>
      </x:c>
      <x:c r="G7" s="8">
        <x:v>58.07</x:v>
      </x:c>
      <x:c r="H7" s="8">
        <x:v>58.07</x:v>
      </x:c>
      <x:c r="I7" s="0" t="s">
        <x:v>23</x:v>
      </x:c>
      <x:c r="K7" s="8">
        <x:v>58.07</x:v>
      </x:c>
      <x:c r="L7" s="0" t="s">
        <x:v>24</x:v>
      </x:c>
      <x:c r="M7" s="0" t="s">
        <x:v>25</x:v>
      </x:c>
      <x:c r="N7" s="0" t="s">
        <x:v>26</x:v>
      </x:c>
      <x:c r="P7" s="0" t="s">
        <x:v>27</x:v>
      </x:c>
    </x:row>
    <x:row r="8" spans="1:20">
      <x:c r="A8" s="0">
        <x:v>7</x:v>
      </x:c>
      <x:c r="B8" s="0" t="s">
        <x:v>32</x:v>
      </x:c>
      <x:c r="C8" s="0" t="s">
        <x:v>21</x:v>
      </x:c>
      <x:c r="D8" s="0" t="s">
        <x:v>22</x:v>
      </x:c>
      <x:c r="E8" s="0">
        <x:v>1</x:v>
      </x:c>
      <x:c r="F8" s="0">
        <x:v>4</x:v>
      </x:c>
      <x:c r="G8" s="8">
        <x:v>68</x:v>
      </x:c>
      <x:c r="H8" s="8">
        <x:v>272</x:v>
      </x:c>
      <x:c r="I8" s="0" t="s">
        <x:v>23</x:v>
      </x:c>
      <x:c r="K8" s="8">
        <x:v>272</x:v>
      </x:c>
      <x:c r="L8" s="0" t="s">
        <x:v>24</x:v>
      </x:c>
      <x:c r="M8" s="0" t="s">
        <x:v>25</x:v>
      </x:c>
      <x:c r="N8" s="0" t="s">
        <x:v>26</x:v>
      </x:c>
      <x:c r="P8" s="0" t="s">
        <x:v>27</x:v>
      </x:c>
    </x:row>
    <x:row r="9" spans="1:20">
      <x:c r="A9" s="0">
        <x:v>8</x:v>
      </x:c>
      <x:c r="B9" s="0" t="s">
        <x:v>123</x:v>
      </x:c>
      <x:c r="C9" s="0" t="s">
        <x:v>21</x:v>
      </x:c>
      <x:c r="D9" s="0" t="s">
        <x:v>34</x:v>
      </x:c>
      <x:c r="E9" s="0">
        <x:v>1</x:v>
      </x:c>
      <x:c r="F9" s="0">
        <x:v>0.1</x:v>
      </x:c>
      <x:c r="G9" s="8">
        <x:v>3180</x:v>
      </x:c>
      <x:c r="H9" s="8">
        <x:v>318</x:v>
      </x:c>
      <x:c r="I9" s="0" t="s">
        <x:v>23</x:v>
      </x:c>
      <x:c r="K9" s="8">
        <x:v>318</x:v>
      </x:c>
      <x:c r="L9" s="0" t="s">
        <x:v>24</x:v>
      </x:c>
      <x:c r="M9" s="0" t="s">
        <x:v>25</x:v>
      </x:c>
      <x:c r="N9" s="0" t="s">
        <x:v>26</x:v>
      </x:c>
      <x:c r="P9" s="0" t="s">
        <x:v>27</x:v>
      </x:c>
    </x:row>
    <x:row r="10" spans="1:20">
      <x:c r="A10" s="0">
        <x:v>9</x:v>
      </x:c>
      <x:c r="B10" s="0" t="s">
        <x:v>63</x:v>
      </x:c>
      <x:c r="C10" s="0" t="s">
        <x:v>21</x:v>
      </x:c>
      <x:c r="D10" s="0" t="s">
        <x:v>34</x:v>
      </x:c>
      <x:c r="E10" s="0">
        <x:v>1</x:v>
      </x:c>
      <x:c r="F10" s="0">
        <x:v>0.1</x:v>
      </x:c>
      <x:c r="G10" s="8">
        <x:v>6516.4</x:v>
      </x:c>
      <x:c r="H10" s="8">
        <x:v>651.64</x:v>
      </x:c>
      <x:c r="I10" s="0" t="s">
        <x:v>23</x:v>
      </x:c>
      <x:c r="K10" s="8">
        <x:v>651.64</x:v>
      </x:c>
      <x:c r="L10" s="0" t="s">
        <x:v>24</x:v>
      </x:c>
      <x:c r="M10" s="0" t="s">
        <x:v>25</x:v>
      </x:c>
      <x:c r="N10" s="0" t="s">
        <x:v>26</x:v>
      </x:c>
      <x:c r="P10" s="0" t="s">
        <x:v>27</x:v>
      </x:c>
    </x:row>
    <x:row r="11" spans="1:20">
      <x:c r="A11" s="0">
        <x:v>10</x:v>
      </x:c>
      <x:c r="B11" s="0" t="s">
        <x:v>82</x:v>
      </x:c>
      <x:c r="C11" s="0" t="s">
        <x:v>21</x:v>
      </x:c>
      <x:c r="D11" s="0" t="s">
        <x:v>34</x:v>
      </x:c>
      <x:c r="E11" s="0">
        <x:v>1</x:v>
      </x:c>
      <x:c r="F11" s="0">
        <x:v>0.1</x:v>
      </x:c>
      <x:c r="G11" s="8">
        <x:v>4233</x:v>
      </x:c>
      <x:c r="H11" s="8">
        <x:v>423.3</x:v>
      </x:c>
      <x:c r="I11" s="0" t="s">
        <x:v>23</x:v>
      </x:c>
      <x:c r="K11" s="8">
        <x:v>423.3</x:v>
      </x:c>
      <x:c r="L11" s="0" t="s">
        <x:v>24</x:v>
      </x:c>
      <x:c r="M11" s="0" t="s">
        <x:v>25</x:v>
      </x:c>
      <x:c r="N11" s="0" t="s">
        <x:v>26</x:v>
      </x:c>
      <x:c r="P11" s="0" t="s">
        <x:v>27</x:v>
      </x:c>
    </x:row>
    <x:row r="12" spans="1:20">
      <x:c r="A12" s="0">
        <x:v>11</x:v>
      </x:c>
      <x:c r="B12" s="0" t="s">
        <x:v>67</x:v>
      </x:c>
      <x:c r="C12" s="0" t="s">
        <x:v>21</x:v>
      </x:c>
      <x:c r="D12" s="0" t="s">
        <x:v>34</x:v>
      </x:c>
      <x:c r="E12" s="0">
        <x:v>1</x:v>
      </x:c>
      <x:c r="F12" s="0">
        <x:v>0.1</x:v>
      </x:c>
      <x:c r="G12" s="8">
        <x:v>3180</x:v>
      </x:c>
      <x:c r="H12" s="8">
        <x:v>318</x:v>
      </x:c>
      <x:c r="I12" s="0" t="s">
        <x:v>23</x:v>
      </x:c>
      <x:c r="K12" s="8">
        <x:v>318</x:v>
      </x:c>
      <x:c r="L12" s="0" t="s">
        <x:v>24</x:v>
      </x:c>
      <x:c r="M12" s="0" t="s">
        <x:v>25</x:v>
      </x:c>
      <x:c r="N12" s="0" t="s">
        <x:v>26</x:v>
      </x:c>
      <x:c r="P12" s="0" t="s">
        <x:v>27</x:v>
      </x:c>
    </x:row>
    <x:row r="13" spans="1:20">
      <x:c r="A13" s="0">
        <x:v>12</x:v>
      </x:c>
      <x:c r="B13" s="0" t="s">
        <x:v>102</x:v>
      </x:c>
      <x:c r="C13" s="0" t="s">
        <x:v>21</x:v>
      </x:c>
      <x:c r="D13" s="0" t="s">
        <x:v>34</x:v>
      </x:c>
      <x:c r="E13" s="0">
        <x:v>1</x:v>
      </x:c>
      <x:c r="F13" s="0">
        <x:v>0.1</x:v>
      </x:c>
      <x:c r="G13" s="8">
        <x:v>4980</x:v>
      </x:c>
      <x:c r="H13" s="8">
        <x:v>498</x:v>
      </x:c>
      <x:c r="I13" s="0" t="s">
        <x:v>23</x:v>
      </x:c>
      <x:c r="K13" s="8">
        <x:v>498</x:v>
      </x:c>
      <x:c r="L13" s="0" t="s">
        <x:v>24</x:v>
      </x:c>
      <x:c r="M13" s="0" t="s">
        <x:v>25</x:v>
      </x:c>
      <x:c r="N13" s="0" t="s">
        <x:v>26</x:v>
      </x:c>
      <x:c r="P13" s="0" t="s">
        <x:v>27</x:v>
      </x:c>
    </x:row>
    <x:row r="14" spans="1:20">
      <x:c r="A14" s="0">
        <x:v>13</x:v>
      </x:c>
      <x:c r="B14" s="0" t="s">
        <x:v>70</x:v>
      </x:c>
      <x:c r="C14" s="0" t="s">
        <x:v>21</x:v>
      </x:c>
      <x:c r="D14" s="0" t="s">
        <x:v>22</x:v>
      </x:c>
      <x:c r="E14" s="0">
        <x:v>1</x:v>
      </x:c>
      <x:c r="F14" s="0">
        <x:v>3</x:v>
      </x:c>
      <x:c r="G14" s="8">
        <x:v>237.5</x:v>
      </x:c>
      <x:c r="H14" s="8">
        <x:v>712.5</x:v>
      </x:c>
      <x:c r="I14" s="0" t="s">
        <x:v>23</x:v>
      </x:c>
      <x:c r="K14" s="8">
        <x:v>712.5</x:v>
      </x:c>
      <x:c r="L14" s="0" t="s">
        <x:v>24</x:v>
      </x:c>
      <x:c r="M14" s="0" t="s">
        <x:v>25</x:v>
      </x:c>
      <x:c r="N14" s="0" t="s">
        <x:v>26</x:v>
      </x:c>
      <x:c r="P14" s="0" t="s">
        <x:v>27</x:v>
      </x:c>
    </x:row>
    <x:row r="15" spans="1:20">
      <x:c r="A15" s="0">
        <x:v>14</x:v>
      </x:c>
      <x:c r="B15" s="0" t="s">
        <x:v>39</x:v>
      </x:c>
      <x:c r="C15" s="0" t="s">
        <x:v>21</x:v>
      </x:c>
      <x:c r="D15" s="0" t="s">
        <x:v>22</x:v>
      </x:c>
      <x:c r="E15" s="0">
        <x:v>1</x:v>
      </x:c>
      <x:c r="F15" s="0">
        <x:v>5</x:v>
      </x:c>
      <x:c r="G15" s="8">
        <x:v>242.5</x:v>
      </x:c>
      <x:c r="H15" s="8">
        <x:v>1212.5</x:v>
      </x:c>
      <x:c r="I15" s="0" t="s">
        <x:v>23</x:v>
      </x:c>
      <x:c r="K15" s="8">
        <x:v>1212.5</x:v>
      </x:c>
      <x:c r="L15" s="0" t="s">
        <x:v>24</x:v>
      </x:c>
      <x:c r="M15" s="0" t="s">
        <x:v>25</x:v>
      </x:c>
      <x:c r="N15" s="0" t="s">
        <x:v>26</x:v>
      </x:c>
      <x:c r="P15" s="0" t="s">
        <x:v>27</x:v>
      </x:c>
    </x:row>
    <x:row r="16" spans="1:20">
      <x:c r="A16" s="0">
        <x:v>15</x:v>
      </x:c>
      <x:c r="B16" s="0" t="s">
        <x:v>40</x:v>
      </x:c>
      <x:c r="C16" s="0" t="s">
        <x:v>21</x:v>
      </x:c>
      <x:c r="D16" s="0" t="s">
        <x:v>22</x:v>
      </x:c>
      <x:c r="E16" s="0">
        <x:v>1</x:v>
      </x:c>
      <x:c r="F16" s="0">
        <x:v>2</x:v>
      </x:c>
      <x:c r="G16" s="8">
        <x:v>400</x:v>
      </x:c>
      <x:c r="H16" s="8">
        <x:v>800</x:v>
      </x:c>
      <x:c r="I16" s="0" t="s">
        <x:v>23</x:v>
      </x:c>
      <x:c r="K16" s="8">
        <x:v>800</x:v>
      </x:c>
      <x:c r="L16" s="0" t="s">
        <x:v>24</x:v>
      </x:c>
      <x:c r="M16" s="0" t="s">
        <x:v>25</x:v>
      </x:c>
      <x:c r="N16" s="0" t="s">
        <x:v>26</x:v>
      </x:c>
      <x:c r="P16" s="0" t="s">
        <x:v>27</x:v>
      </x:c>
    </x:row>
    <x:row r="17" spans="1:20">
      <x:c r="A17" s="0">
        <x:v>16</x:v>
      </x:c>
      <x:c r="B17" s="0" t="s">
        <x:v>45</x:v>
      </x:c>
      <x:c r="C17" s="0" t="s">
        <x:v>21</x:v>
      </x:c>
      <x:c r="D17" s="0" t="s">
        <x:v>22</x:v>
      </x:c>
      <x:c r="E17" s="0">
        <x:v>1</x:v>
      </x:c>
      <x:c r="F17" s="0">
        <x:v>2</x:v>
      </x:c>
      <x:c r="G17" s="8">
        <x:v>110</x:v>
      </x:c>
      <x:c r="H17" s="8">
        <x:v>220</x:v>
      </x:c>
      <x:c r="I17" s="0" t="s">
        <x:v>23</x:v>
      </x:c>
      <x:c r="K17" s="8">
        <x:v>220</x:v>
      </x:c>
      <x:c r="L17" s="0" t="s">
        <x:v>24</x:v>
      </x:c>
      <x:c r="M17" s="0" t="s">
        <x:v>25</x:v>
      </x:c>
      <x:c r="N17" s="0" t="s">
        <x:v>26</x:v>
      </x:c>
      <x:c r="P17" s="0" t="s">
        <x:v>27</x:v>
      </x:c>
    </x:row>
    <x:row r="18" spans="1:20">
      <x:c r="A18" s="0">
        <x:v>17</x:v>
      </x:c>
      <x:c r="B18" s="0" t="s">
        <x:v>46</x:v>
      </x:c>
      <x:c r="C18" s="0" t="s">
        <x:v>21</x:v>
      </x:c>
      <x:c r="D18" s="0" t="s">
        <x:v>22</x:v>
      </x:c>
      <x:c r="E18" s="0">
        <x:v>1</x:v>
      </x:c>
      <x:c r="F18" s="0">
        <x:v>6</x:v>
      </x:c>
      <x:c r="G18" s="8">
        <x:v>150</x:v>
      </x:c>
      <x:c r="H18" s="8">
        <x:v>900</x:v>
      </x:c>
      <x:c r="I18" s="0" t="s">
        <x:v>23</x:v>
      </x:c>
      <x:c r="K18" s="8">
        <x:v>900</x:v>
      </x:c>
      <x:c r="L18" s="0" t="s">
        <x:v>24</x:v>
      </x:c>
      <x:c r="M18" s="0" t="s">
        <x:v>25</x:v>
      </x:c>
      <x:c r="N18" s="0" t="s">
        <x:v>26</x:v>
      </x:c>
      <x:c r="P18" s="0" t="s">
        <x:v>27</x:v>
      </x:c>
    </x:row>
    <x:row r="19" spans="1:20">
      <x:c r="A19" s="0">
        <x:v>18</x:v>
      </x:c>
      <x:c r="B19" s="0" t="s">
        <x:v>47</x:v>
      </x:c>
      <x:c r="C19" s="0" t="s">
        <x:v>21</x:v>
      </x:c>
      <x:c r="D19" s="0" t="s">
        <x:v>22</x:v>
      </x:c>
      <x:c r="E19" s="0">
        <x:v>1</x:v>
      </x:c>
      <x:c r="F19" s="0">
        <x:v>7</x:v>
      </x:c>
      <x:c r="G19" s="8">
        <x:v>258.43</x:v>
      </x:c>
      <x:c r="H19" s="8">
        <x:v>1809</x:v>
      </x:c>
      <x:c r="I19" s="0" t="s">
        <x:v>23</x:v>
      </x:c>
      <x:c r="K19" s="8">
        <x:v>1809</x:v>
      </x:c>
      <x:c r="L19" s="0" t="s">
        <x:v>24</x:v>
      </x:c>
      <x:c r="M19" s="0" t="s">
        <x:v>25</x:v>
      </x:c>
      <x:c r="N19" s="0" t="s">
        <x:v>26</x:v>
      </x:c>
      <x:c r="P19" s="0" t="s">
        <x:v>27</x:v>
      </x:c>
    </x:row>
    <x:row r="20" spans="1:20">
      <x:c r="A20" s="0">
        <x:v>19</x:v>
      </x:c>
      <x:c r="B20" s="0" t="s">
        <x:v>71</x:v>
      </x:c>
      <x:c r="C20" s="0" t="s">
        <x:v>21</x:v>
      </x:c>
      <x:c r="D20" s="0" t="s">
        <x:v>22</x:v>
      </x:c>
      <x:c r="E20" s="0">
        <x:v>1</x:v>
      </x:c>
      <x:c r="F20" s="0">
        <x:v>3</x:v>
      </x:c>
      <x:c r="G20" s="8">
        <x:v>150</x:v>
      </x:c>
      <x:c r="H20" s="8">
        <x:v>450</x:v>
      </x:c>
      <x:c r="I20" s="0" t="s">
        <x:v>23</x:v>
      </x:c>
      <x:c r="K20" s="8">
        <x:v>450</x:v>
      </x:c>
      <x:c r="L20" s="0" t="s">
        <x:v>24</x:v>
      </x:c>
      <x:c r="M20" s="0" t="s">
        <x:v>25</x:v>
      </x:c>
      <x:c r="N20" s="0" t="s">
        <x:v>26</x:v>
      </x:c>
      <x:c r="P20" s="0" t="s">
        <x:v>27</x:v>
      </x:c>
    </x:row>
    <x:row r="21" spans="1:20">
      <x:c r="A21" s="0">
        <x:v>20</x:v>
      </x:c>
      <x:c r="B21" s="0" t="s">
        <x:v>95</x:v>
      </x:c>
      <x:c r="C21" s="0" t="s">
        <x:v>21</x:v>
      </x:c>
      <x:c r="D21" s="0" t="s">
        <x:v>22</x:v>
      </x:c>
      <x:c r="E21" s="0">
        <x:v>1</x:v>
      </x:c>
      <x:c r="F21" s="0">
        <x:v>1</x:v>
      </x:c>
      <x:c r="G21" s="8">
        <x:v>300</x:v>
      </x:c>
      <x:c r="H21" s="8">
        <x:v>300</x:v>
      </x:c>
      <x:c r="I21" s="0" t="s">
        <x:v>23</x:v>
      </x:c>
      <x:c r="K21" s="8">
        <x:v>300</x:v>
      </x:c>
      <x:c r="L21" s="0" t="s">
        <x:v>24</x:v>
      </x:c>
      <x:c r="M21" s="0" t="s">
        <x:v>25</x:v>
      </x:c>
      <x:c r="N21" s="0" t="s">
        <x:v>26</x:v>
      </x:c>
      <x:c r="P21" s="0" t="s">
        <x:v>27</x:v>
      </x:c>
    </x:row>
    <x:row r="22" spans="1:20">
      <x:c r="A22" s="0">
        <x:v>21</x:v>
      </x:c>
      <x:c r="B22" s="0" t="s">
        <x:v>72</x:v>
      </x:c>
      <x:c r="C22" s="0" t="s">
        <x:v>21</x:v>
      </x:c>
      <x:c r="D22" s="0" t="s">
        <x:v>22</x:v>
      </x:c>
      <x:c r="E22" s="0">
        <x:v>1</x:v>
      </x:c>
      <x:c r="F22" s="0">
        <x:v>2</x:v>
      </x:c>
      <x:c r="G22" s="8">
        <x:v>30</x:v>
      </x:c>
      <x:c r="H22" s="8">
        <x:v>60</x:v>
      </x:c>
      <x:c r="I22" s="0" t="s">
        <x:v>23</x:v>
      </x:c>
      <x:c r="K22" s="8">
        <x:v>60</x:v>
      </x:c>
      <x:c r="L22" s="0" t="s">
        <x:v>24</x:v>
      </x:c>
      <x:c r="M22" s="0" t="s">
        <x:v>25</x:v>
      </x:c>
      <x:c r="N22" s="0" t="s">
        <x:v>26</x:v>
      </x:c>
      <x:c r="P22" s="0" t="s">
        <x:v>27</x:v>
      </x:c>
    </x:row>
    <x:row r="23" spans="1:20">
      <x:c r="A23" s="0">
        <x:v>22</x:v>
      </x:c>
      <x:c r="B23" s="0" t="s">
        <x:v>50</x:v>
      </x:c>
      <x:c r="C23" s="0" t="s">
        <x:v>21</x:v>
      </x:c>
      <x:c r="D23" s="0" t="s">
        <x:v>22</x:v>
      </x:c>
      <x:c r="E23" s="0">
        <x:v>1</x:v>
      </x:c>
      <x:c r="F23" s="0">
        <x:v>1</x:v>
      </x:c>
      <x:c r="G23" s="8">
        <x:v>178.26</x:v>
      </x:c>
      <x:c r="H23" s="8">
        <x:v>178.26</x:v>
      </x:c>
      <x:c r="I23" s="0" t="s">
        <x:v>23</x:v>
      </x:c>
      <x:c r="K23" s="8">
        <x:v>178.26</x:v>
      </x:c>
      <x:c r="L23" s="0" t="s">
        <x:v>24</x:v>
      </x:c>
      <x:c r="M23" s="0" t="s">
        <x:v>25</x:v>
      </x:c>
      <x:c r="N23" s="0" t="s">
        <x:v>26</x:v>
      </x:c>
      <x:c r="P23" s="0" t="s">
        <x:v>27</x:v>
      </x:c>
    </x:row>
    <x:row r="24" spans="1:20">
      <x:c r="A24" s="0">
        <x:v>23</x:v>
      </x:c>
      <x:c r="B24" s="0" t="s">
        <x:v>51</x:v>
      </x:c>
      <x:c r="C24" s="0" t="s">
        <x:v>21</x:v>
      </x:c>
      <x:c r="D24" s="0" t="s">
        <x:v>22</x:v>
      </x:c>
      <x:c r="E24" s="0">
        <x:v>1</x:v>
      </x:c>
      <x:c r="F24" s="0">
        <x:v>6</x:v>
      </x:c>
      <x:c r="G24" s="8">
        <x:v>49.87</x:v>
      </x:c>
      <x:c r="H24" s="8">
        <x:v>299.23</x:v>
      </x:c>
      <x:c r="I24" s="0" t="s">
        <x:v>23</x:v>
      </x:c>
      <x:c r="K24" s="8">
        <x:v>299.23</x:v>
      </x:c>
      <x:c r="L24" s="0" t="s">
        <x:v>24</x:v>
      </x:c>
      <x:c r="M24" s="0" t="s">
        <x:v>25</x:v>
      </x:c>
      <x:c r="N24" s="0" t="s">
        <x:v>26</x:v>
      </x:c>
      <x:c r="P24" s="0" t="s">
        <x:v>27</x:v>
      </x:c>
    </x:row>
    <x:row r="25" spans="1:20">
      <x:c r="A25" s="0">
        <x:v>24</x:v>
      </x:c>
      <x:c r="B25" s="0" t="s">
        <x:v>52</x:v>
      </x:c>
      <x:c r="C25" s="0" t="s">
        <x:v>21</x:v>
      </x:c>
      <x:c r="D25" s="0" t="s">
        <x:v>22</x:v>
      </x:c>
      <x:c r="E25" s="0">
        <x:v>1</x:v>
      </x:c>
      <x:c r="F25" s="0">
        <x:v>2</x:v>
      </x:c>
      <x:c r="G25" s="8">
        <x:v>249.75</x:v>
      </x:c>
      <x:c r="H25" s="8">
        <x:v>499.5</x:v>
      </x:c>
      <x:c r="I25" s="0" t="s">
        <x:v>23</x:v>
      </x:c>
      <x:c r="K25" s="8">
        <x:v>499.5</x:v>
      </x:c>
      <x:c r="L25" s="0" t="s">
        <x:v>24</x:v>
      </x:c>
      <x:c r="M25" s="0" t="s">
        <x:v>25</x:v>
      </x:c>
      <x:c r="N25" s="0" t="s">
        <x:v>26</x:v>
      </x:c>
      <x:c r="P25" s="0" t="s">
        <x:v>27</x:v>
      </x:c>
    </x:row>
    <x:row r="26" spans="1:20">
      <x:c r="A26" s="0">
        <x:v>25</x:v>
      </x:c>
      <x:c r="B26" s="0" t="s">
        <x:v>53</x:v>
      </x:c>
      <x:c r="C26" s="0" t="s">
        <x:v>21</x:v>
      </x:c>
      <x:c r="D26" s="0" t="s">
        <x:v>22</x:v>
      </x:c>
      <x:c r="E26" s="0">
        <x:v>1</x:v>
      </x:c>
      <x:c r="F26" s="0">
        <x:v>5</x:v>
      </x:c>
      <x:c r="G26" s="8">
        <x:v>40</x:v>
      </x:c>
      <x:c r="H26" s="8">
        <x:v>200</x:v>
      </x:c>
      <x:c r="I26" s="0" t="s">
        <x:v>23</x:v>
      </x:c>
      <x:c r="K26" s="8">
        <x:v>200</x:v>
      </x:c>
      <x:c r="L26" s="0" t="s">
        <x:v>24</x:v>
      </x:c>
      <x:c r="M26" s="0" t="s">
        <x:v>25</x:v>
      </x:c>
      <x:c r="N26" s="0" t="s">
        <x:v>26</x:v>
      </x:c>
      <x:c r="P26" s="0" t="s">
        <x:v>27</x:v>
      </x:c>
    </x:row>
    <x:row r="27" spans="1:20">
      <x:c r="A27" s="0">
        <x:v>26</x:v>
      </x:c>
      <x:c r="B27" s="0" t="s">
        <x:v>54</x:v>
      </x:c>
      <x:c r="C27" s="0" t="s">
        <x:v>21</x:v>
      </x:c>
      <x:c r="D27" s="0" t="s">
        <x:v>22</x:v>
      </x:c>
      <x:c r="E27" s="0">
        <x:v>1</x:v>
      </x:c>
      <x:c r="F27" s="0">
        <x:v>1</x:v>
      </x:c>
      <x:c r="G27" s="8">
        <x:v>230</x:v>
      </x:c>
      <x:c r="H27" s="8">
        <x:v>230</x:v>
      </x:c>
      <x:c r="I27" s="0" t="s">
        <x:v>23</x:v>
      </x:c>
      <x:c r="K27" s="8">
        <x:v>230</x:v>
      </x:c>
      <x:c r="L27" s="0" t="s">
        <x:v>24</x:v>
      </x:c>
      <x:c r="M27" s="0" t="s">
        <x:v>25</x:v>
      </x:c>
      <x:c r="N27" s="0" t="s">
        <x:v>26</x:v>
      </x:c>
      <x:c r="P27" s="0" t="s">
        <x:v>27</x:v>
      </x:c>
    </x:row>
    <x:row r="28" spans="1:20">
      <x:c r="A28" s="0">
        <x:v>27</x:v>
      </x:c>
      <x:c r="B28" s="0" t="s">
        <x:v>55</x:v>
      </x:c>
      <x:c r="C28" s="0" t="s">
        <x:v>21</x:v>
      </x:c>
      <x:c r="D28" s="0" t="s">
        <x:v>22</x:v>
      </x:c>
      <x:c r="E28" s="0">
        <x:v>1</x:v>
      </x:c>
      <x:c r="F28" s="0">
        <x:v>3</x:v>
      </x:c>
      <x:c r="G28" s="8">
        <x:v>301.09</x:v>
      </x:c>
      <x:c r="H28" s="8">
        <x:v>903.27</x:v>
      </x:c>
      <x:c r="I28" s="0" t="s">
        <x:v>23</x:v>
      </x:c>
      <x:c r="K28" s="8">
        <x:v>903.27</x:v>
      </x:c>
      <x:c r="L28" s="0" t="s">
        <x:v>24</x:v>
      </x:c>
      <x:c r="M28" s="0" t="s">
        <x:v>25</x:v>
      </x:c>
      <x:c r="N28" s="0" t="s">
        <x:v>26</x:v>
      </x:c>
      <x:c r="P28" s="0" t="s">
        <x:v>27</x:v>
      </x:c>
    </x:row>
    <x:row r="29" spans="1:20">
      <x:c r="A29" s="0">
        <x:v>28</x:v>
      </x:c>
      <x:c r="B29" s="0" t="s">
        <x:v>56</x:v>
      </x:c>
      <x:c r="C29" s="0" t="s">
        <x:v>21</x:v>
      </x:c>
      <x:c r="D29" s="0" t="s">
        <x:v>22</x:v>
      </x:c>
      <x:c r="E29" s="0">
        <x:v>1</x:v>
      </x:c>
      <x:c r="F29" s="0">
        <x:v>1</x:v>
      </x:c>
      <x:c r="G29" s="8">
        <x:v>350</x:v>
      </x:c>
      <x:c r="H29" s="8">
        <x:v>350</x:v>
      </x:c>
      <x:c r="I29" s="0" t="s">
        <x:v>23</x:v>
      </x:c>
      <x:c r="K29" s="8">
        <x:v>350</x:v>
      </x:c>
      <x:c r="L29" s="0" t="s">
        <x:v>24</x:v>
      </x:c>
      <x:c r="M29" s="0" t="s">
        <x:v>25</x:v>
      </x:c>
      <x:c r="N29" s="0" t="s">
        <x:v>26</x:v>
      </x:c>
      <x:c r="P29" s="0" t="s">
        <x:v>27</x:v>
      </x:c>
    </x:row>
    <x:row r="30" spans="1:20">
      <x:c r="A30" s="0">
        <x:v>29</x:v>
      </x:c>
      <x:c r="B30" s="0" t="s">
        <x:v>57</x:v>
      </x:c>
      <x:c r="C30" s="0" t="s">
        <x:v>21</x:v>
      </x:c>
      <x:c r="D30" s="0" t="s">
        <x:v>22</x:v>
      </x:c>
      <x:c r="E30" s="0">
        <x:v>1</x:v>
      </x:c>
      <x:c r="F30" s="0">
        <x:v>4</x:v>
      </x:c>
      <x:c r="G30" s="8">
        <x:v>150</x:v>
      </x:c>
      <x:c r="H30" s="8">
        <x:v>600</x:v>
      </x:c>
      <x:c r="I30" s="0" t="s">
        <x:v>23</x:v>
      </x:c>
      <x:c r="K30" s="8">
        <x:v>600</x:v>
      </x:c>
      <x:c r="L30" s="0" t="s">
        <x:v>24</x:v>
      </x:c>
      <x:c r="M30" s="0" t="s">
        <x:v>25</x:v>
      </x:c>
      <x:c r="N30" s="0" t="s">
        <x:v>26</x:v>
      </x:c>
      <x:c r="P30" s="0" t="s">
        <x:v>27</x:v>
      </x:c>
    </x:row>
    <x:row r="31" spans="1:20">
      <x:c r="A31" s="0">
        <x:v>30</x:v>
      </x:c>
      <x:c r="B31" s="0" t="s">
        <x:v>58</x:v>
      </x:c>
      <x:c r="C31" s="0" t="s">
        <x:v>21</x:v>
      </x:c>
      <x:c r="D31" s="0" t="s">
        <x:v>22</x:v>
      </x:c>
      <x:c r="E31" s="0">
        <x:v>1</x:v>
      </x:c>
      <x:c r="F31" s="0">
        <x:v>1</x:v>
      </x:c>
      <x:c r="G31" s="8">
        <x:v>280</x:v>
      </x:c>
      <x:c r="H31" s="8">
        <x:v>280</x:v>
      </x:c>
      <x:c r="I31" s="0" t="s">
        <x:v>23</x:v>
      </x:c>
      <x:c r="K31" s="8">
        <x:v>280</x:v>
      </x:c>
      <x:c r="L31" s="0" t="s">
        <x:v>24</x:v>
      </x:c>
      <x:c r="M31" s="0" t="s">
        <x:v>25</x:v>
      </x:c>
      <x:c r="N31" s="0" t="s">
        <x:v>26</x:v>
      </x:c>
      <x:c r="P31" s="0" t="s">
        <x:v>27</x:v>
      </x:c>
    </x:row>
    <x:row r="32" spans="1:20">
      <x:c r="A32" s="0">
        <x:v>31</x:v>
      </x:c>
      <x:c r="B32" s="0" t="s">
        <x:v>60</x:v>
      </x:c>
      <x:c r="C32" s="0" t="s">
        <x:v>21</x:v>
      </x:c>
      <x:c r="D32" s="0" t="s">
        <x:v>22</x:v>
      </x:c>
      <x:c r="E32" s="0">
        <x:v>1</x:v>
      </x:c>
      <x:c r="F32" s="0">
        <x:v>1</x:v>
      </x:c>
      <x:c r="G32" s="8">
        <x:v>139</x:v>
      </x:c>
      <x:c r="H32" s="8">
        <x:v>139</x:v>
      </x:c>
      <x:c r="I32" s="0" t="s">
        <x:v>23</x:v>
      </x:c>
      <x:c r="K32" s="8">
        <x:v>139</x:v>
      </x:c>
      <x:c r="L32" s="0" t="s">
        <x:v>24</x:v>
      </x:c>
      <x:c r="M32" s="0" t="s">
        <x:v>25</x:v>
      </x:c>
      <x:c r="N32" s="0" t="s">
        <x:v>26</x:v>
      </x:c>
      <x:c r="P32" s="0" t="s">
        <x:v>27</x:v>
      </x:c>
    </x:row>
    <x:row r="33" spans="1:20">
      <x:c r="H33" s="18">
        <x:f>SUM(H2:H32)</x:f>
      </x:c>
    </x:row>
    <x:row r="35" spans="1:20">
      <x:c r="B35" s="19" t="s">
        <x:v>163</x:v>
      </x:c>
      <x:c r="C35" s="20"/>
      <x:c r="D35" s="20"/>
      <x:c r="E35" s="20"/>
      <x:c r="F35" s="20"/>
      <x:c r="G35" s="20"/>
      <x:c r="H35" s="21">
        <x:f>SUM(H36:H38)</x:f>
      </x:c>
      <x:c r="I35" s="22" t="s">
        <x:v>164</x:v>
      </x:c>
    </x:row>
    <x:row r="36" spans="1:20">
      <x:c r="B36" s="21" t="s">
        <x:v>165</x:v>
      </x:c>
      <x:c r="C36" s="21"/>
      <x:c r="D36" s="21"/>
      <x:c r="E36" s="21"/>
      <x:c r="F36" s="20">
        <x:f>F2+F4+F5+F6+F14+F15+F16+F19+F20+F21+F25+F30+F31+F32</x:f>
      </x:c>
      <x:c r="G36" s="20">
        <x:f>G2+G4+G5+G6+G14+G15+G16+G19+G20+G21+G25+G30+G31+G32</x:f>
      </x:c>
      <x:c r="H36" s="20">
        <x:f>H2+H4+H5+H6+H14+H15+H16+H19+H20+H21+H25+H30+H31+H32</x:f>
      </x:c>
      <x:c r="I36" s="15"/>
    </x:row>
    <x:row r="37" spans="1:20">
      <x:c r="B37" s="21" t="s">
        <x:v>166</x:v>
      </x:c>
      <x:c r="C37" s="21"/>
      <x:c r="D37" s="21"/>
      <x:c r="E37" s="21"/>
      <x:c r="F37" s="20"/>
      <x:c r="G37" s="20"/>
      <x:c r="H37" s="20"/>
      <x:c r="I37" s="15"/>
    </x:row>
    <x:row r="38" spans="1:20">
      <x:c r="B38" s="21" t="s">
        <x:v>167</x:v>
      </x:c>
      <x:c r="C38" s="21"/>
      <x:c r="D38" s="21"/>
      <x:c r="E38" s="21"/>
      <x:c r="F38" s="20">
        <x:f>F7+F22+F24+F26</x:f>
      </x:c>
      <x:c r="G38" s="20">
        <x:f>G7+G22+G24+G26</x:f>
      </x:c>
      <x:c r="H38" s="20">
        <x:f>H7+H22+H24+H26</x:f>
      </x:c>
      <x:c r="I38" s="15"/>
    </x:row>
    <x:row r="39" spans="1:20">
      <x:c r="B39" s="19" t="s">
        <x:v>168</x:v>
      </x:c>
      <x:c r="C39" s="20"/>
      <x:c r="D39" s="20"/>
      <x:c r="E39" s="20"/>
      <x:c r="F39" s="20"/>
      <x:c r="G39" s="20"/>
      <x:c r="H39" s="21">
        <x:f>SUM(H40:H46)</x:f>
      </x:c>
      <x:c r="I39" s="22" t="s">
        <x:v>169</x:v>
      </x:c>
    </x:row>
    <x:row r="40" spans="1:20">
      <x:c r="B40" s="21" t="s">
        <x:v>170</x:v>
      </x:c>
      <x:c r="C40" s="21"/>
      <x:c r="D40" s="21"/>
      <x:c r="E40" s="21"/>
      <x:c r="F40" s="20">
        <x:f>F9+F10+F11+F12+F13</x:f>
      </x:c>
      <x:c r="G40" s="20">
        <x:f>G9+G10+G11+G12+G13</x:f>
      </x:c>
      <x:c r="H40" s="20">
        <x:f>H9+H10+H11+H12+H13</x:f>
      </x:c>
      <x:c r="I40" s="15"/>
    </x:row>
    <x:row r="41" spans="1:20">
      <x:c r="B41" s="21" t="s">
        <x:v>171</x:v>
      </x:c>
      <x:c r="C41" s="21"/>
      <x:c r="D41" s="21"/>
      <x:c r="E41" s="21"/>
      <x:c r="F41" s="20"/>
      <x:c r="G41" s="20"/>
      <x:c r="H41" s="20"/>
      <x:c r="I41" s="15"/>
    </x:row>
    <x:row r="42" spans="1:20">
      <x:c r="B42" s="21" t="s">
        <x:v>172</x:v>
      </x:c>
      <x:c r="C42" s="21"/>
      <x:c r="D42" s="21"/>
      <x:c r="E42" s="21"/>
      <x:c r="F42" s="20">
        <x:f>F3+F8</x:f>
      </x:c>
      <x:c r="G42" s="20">
        <x:f>G3+G8</x:f>
      </x:c>
      <x:c r="H42" s="20">
        <x:f>H3+H8</x:f>
      </x:c>
      <x:c r="I42" s="15"/>
    </x:row>
    <x:row r="43" spans="1:20">
      <x:c r="B43" s="21" t="s">
        <x:v>173</x:v>
      </x:c>
      <x:c r="C43" s="21"/>
      <x:c r="D43" s="21"/>
      <x:c r="E43" s="21"/>
      <x:c r="F43" s="20"/>
      <x:c r="G43" s="20"/>
      <x:c r="H43" s="20"/>
      <x:c r="I43" s="15"/>
    </x:row>
    <x:row r="44" spans="1:20">
      <x:c r="B44" s="21" t="s">
        <x:v>174</x:v>
      </x:c>
      <x:c r="C44" s="21"/>
      <x:c r="D44" s="21"/>
      <x:c r="E44" s="21"/>
      <x:c r="F44" s="20"/>
      <x:c r="G44" s="20"/>
      <x:c r="H44" s="20"/>
      <x:c r="I44" s="15"/>
    </x:row>
    <x:row r="45" spans="1:20">
      <x:c r="B45" s="21" t="s">
        <x:v>70</x:v>
      </x:c>
      <x:c r="C45" s="21"/>
      <x:c r="D45" s="21"/>
      <x:c r="E45" s="21"/>
      <x:c r="F45" s="20"/>
      <x:c r="G45" s="20"/>
      <x:c r="H45" s="20"/>
      <x:c r="I45" s="15"/>
    </x:row>
    <x:row r="46" spans="1:20">
      <x:c r="B46" s="21" t="s">
        <x:v>175</x:v>
      </x:c>
      <x:c r="C46" s="21"/>
      <x:c r="D46" s="21"/>
      <x:c r="E46" s="21"/>
      <x:c r="F46" s="20"/>
      <x:c r="G46" s="20"/>
      <x:c r="H46" s="20"/>
      <x:c r="I46" s="15"/>
    </x:row>
    <x:row r="47" spans="1:20">
      <x:c r="B47" s="19" t="s">
        <x:v>176</x:v>
      </x:c>
      <x:c r="C47" s="20"/>
      <x:c r="D47" s="20"/>
      <x:c r="E47" s="20"/>
      <x:c r="F47" s="20"/>
      <x:c r="G47" s="20"/>
      <x:c r="H47" s="21">
        <x:f>SUM(H48:H53)</x:f>
      </x:c>
      <x:c r="I47" s="22" t="s">
        <x:v>177</x:v>
      </x:c>
    </x:row>
    <x:row r="48" spans="1:20">
      <x:c r="B48" s="21" t="s">
        <x:v>178</x:v>
      </x:c>
      <x:c r="C48" s="21"/>
      <x:c r="D48" s="21"/>
      <x:c r="E48" s="21"/>
      <x:c r="F48" s="20"/>
      <x:c r="G48" s="20"/>
      <x:c r="H48" s="20"/>
      <x:c r="I48" s="15"/>
    </x:row>
    <x:row r="49" spans="1:20">
      <x:c r="B49" s="21" t="s">
        <x:v>179</x:v>
      </x:c>
      <x:c r="C49" s="21"/>
      <x:c r="D49" s="21"/>
      <x:c r="E49" s="21"/>
      <x:c r="F49" s="20">
        <x:f>F28</x:f>
      </x:c>
      <x:c r="G49" s="20">
        <x:f>G28</x:f>
      </x:c>
      <x:c r="H49" s="20">
        <x:f>H28</x:f>
      </x:c>
      <x:c r="I49" s="15"/>
    </x:row>
    <x:row r="50" spans="1:20">
      <x:c r="B50" s="21" t="s">
        <x:v>54</x:v>
      </x:c>
      <x:c r="C50" s="21"/>
      <x:c r="D50" s="21"/>
      <x:c r="E50" s="21"/>
      <x:c r="F50" s="20">
        <x:f>F27</x:f>
      </x:c>
      <x:c r="G50" s="20">
        <x:f>G27</x:f>
      </x:c>
      <x:c r="H50" s="20">
        <x:f>H27</x:f>
      </x:c>
      <x:c r="I50" s="15"/>
    </x:row>
    <x:row r="51" spans="1:20">
      <x:c r="B51" s="21" t="s">
        <x:v>180</x:v>
      </x:c>
      <x:c r="C51" s="21"/>
      <x:c r="D51" s="21"/>
      <x:c r="E51" s="21"/>
      <x:c r="F51" s="20">
        <x:f>F29</x:f>
      </x:c>
      <x:c r="G51" s="20">
        <x:f>G29</x:f>
      </x:c>
      <x:c r="H51" s="20">
        <x:f>H29</x:f>
      </x:c>
      <x:c r="I51" s="15"/>
    </x:row>
    <x:row r="52" spans="1:20">
      <x:c r="B52" s="21" t="s">
        <x:v>181</x:v>
      </x:c>
      <x:c r="C52" s="21"/>
      <x:c r="D52" s="21"/>
      <x:c r="E52" s="21"/>
      <x:c r="F52" s="20">
        <x:f>F17+F18+F23</x:f>
      </x:c>
      <x:c r="G52" s="20">
        <x:f>G17+G18+G23</x:f>
      </x:c>
      <x:c r="H52" s="20">
        <x:f>H17+H18+H23</x:f>
      </x:c>
      <x:c r="I52" s="15"/>
    </x:row>
    <x:row r="53" spans="1:20">
      <x:c r="B53" s="21" t="s">
        <x:v>182</x:v>
      </x:c>
      <x:c r="C53" s="21"/>
      <x:c r="D53" s="21"/>
      <x:c r="E53" s="21"/>
      <x:c r="F53" s="20"/>
      <x:c r="G53" s="20"/>
      <x:c r="H53" s="20"/>
      <x:c r="I53" s="15"/>
    </x:row>
    <x:row r="54" spans="1:20">
      <x:c r="B54" s="19" t="s">
        <x:v>183</x:v>
      </x:c>
      <x:c r="C54" s="20"/>
      <x:c r="D54" s="20"/>
      <x:c r="E54" s="20"/>
      <x:c r="F54" s="20"/>
      <x:c r="G54" s="20"/>
      <x:c r="H54" s="21">
        <x:f>SUM(H55:H56)</x:f>
      </x:c>
      <x:c r="I54" s="22"/>
    </x:row>
    <x:row r="55" spans="1:20">
      <x:c r="B55" s="21" t="s">
        <x:v>184</x:v>
      </x:c>
      <x:c r="C55" s="21"/>
      <x:c r="D55" s="21"/>
      <x:c r="E55" s="21"/>
      <x:c r="F55" s="20"/>
      <x:c r="G55" s="20"/>
      <x:c r="H55" s="20"/>
      <x:c r="I55" s="15"/>
    </x:row>
    <x:row r="56" spans="1:20">
      <x:c r="B56" s="21" t="s">
        <x:v>185</x:v>
      </x:c>
      <x:c r="C56" s="21"/>
      <x:c r="D56" s="21"/>
      <x:c r="E56" s="21"/>
      <x:c r="F56" s="20"/>
      <x:c r="G56" s="20"/>
      <x:c r="H56" s="20"/>
      <x:c r="I56" s="15"/>
    </x:row>
    <x:row r="57" spans="1:20">
      <x:c r="B57" s="22"/>
      <x:c r="C57" s="22"/>
      <x:c r="D57" s="22"/>
      <x:c r="E57" s="22"/>
      <x:c r="F57" s="15"/>
      <x:c r="G57" s="15"/>
      <x:c r="H57" s="22">
        <x:f>H35+H39+H47+H54</x:f>
      </x:c>
      <x:c r="I57" s="15"/>
    </x:row>
    <x:row r="58" spans="1:20">
      <x:c r="H58" s="17">
        <x:f>H57 - H33</x:f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715D377-FC3C-6149-88C7-3B73ABD391A6}" mc:Ignorable="x14ac xr xr2 xr3">
  <x:sheetPr>
    <x:outlinePr summaryBelow="1" summaryRight="1"/>
  </x:sheetPr>
  <x:dimension ref="A1:T30"/>
  <x:sheetViews>
    <x:sheetView topLeftCell="A29" workbookViewId="0">
      <x:selection activeCell="A31" sqref="A31 A31:J58"/>
    </x:sheetView>
  </x:sheetViews>
  <x:sheetFormatPr defaultColWidth="11.210625" defaultRowHeight="15.75"/>
  <x:cols>
    <x:col min="1" max="1" width="11.210625" style="0" customWidth="1"/>
    <x:col min="2" max="2" width="33.625" style="0" customWidth="1"/>
    <x:col min="3" max="3" width="2.875" style="0" customWidth="1"/>
    <x:col min="4" max="4" width="2.625" style="0" customWidth="1"/>
    <x:col min="5" max="5" width="1.375" style="0" customWidth="1"/>
  </x:cols>
  <x:sheetData>
    <x:row r="1" spans="1:2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</x:row>
    <x:row r="2" spans="1:20">
      <x:c r="A2" s="0">
        <x:v>1</x:v>
      </x:c>
      <x:c r="B2" s="0" t="s">
        <x:v>91</x:v>
      </x:c>
      <x:c r="C2" s="0" t="s">
        <x:v>21</x:v>
      </x:c>
      <x:c r="D2" s="0" t="s">
        <x:v>22</x:v>
      </x:c>
      <x:c r="E2" s="0">
        <x:v>1</x:v>
      </x:c>
      <x:c r="F2" s="0">
        <x:v>1</x:v>
      </x:c>
      <x:c r="G2" s="8">
        <x:v>297.5</x:v>
      </x:c>
      <x:c r="H2" s="8">
        <x:v>297.5</x:v>
      </x:c>
      <x:c r="I2" s="0" t="s">
        <x:v>23</x:v>
      </x:c>
      <x:c r="K2" s="8">
        <x:v>297.5</x:v>
      </x:c>
      <x:c r="L2" s="0" t="s">
        <x:v>24</x:v>
      </x:c>
      <x:c r="M2" s="0" t="s">
        <x:v>25</x:v>
      </x:c>
      <x:c r="N2" s="0" t="s">
        <x:v>26</x:v>
      </x:c>
      <x:c r="P2" s="0" t="s">
        <x:v>27</x:v>
      </x:c>
    </x:row>
    <x:row r="3" spans="1:20">
      <x:c r="A3" s="0">
        <x:v>2</x:v>
      </x:c>
      <x:c r="B3" s="0" t="s">
        <x:v>61</x:v>
      </x:c>
      <x:c r="C3" s="0" t="s">
        <x:v>21</x:v>
      </x:c>
      <x:c r="D3" s="0" t="s">
        <x:v>22</x:v>
      </x:c>
      <x:c r="E3" s="0">
        <x:v>1</x:v>
      </x:c>
      <x:c r="F3" s="0">
        <x:v>1</x:v>
      </x:c>
      <x:c r="G3" s="8">
        <x:v>225</x:v>
      </x:c>
      <x:c r="H3" s="8">
        <x:v>225</x:v>
      </x:c>
      <x:c r="I3" s="0" t="s">
        <x:v>23</x:v>
      </x:c>
      <x:c r="K3" s="8">
        <x:v>225</x:v>
      </x:c>
      <x:c r="L3" s="0" t="s">
        <x:v>24</x:v>
      </x:c>
      <x:c r="M3" s="0" t="s">
        <x:v>25</x:v>
      </x:c>
      <x:c r="N3" s="0" t="s">
        <x:v>26</x:v>
      </x:c>
      <x:c r="P3" s="0" t="s">
        <x:v>27</x:v>
      </x:c>
    </x:row>
    <x:row r="4" spans="1:20">
      <x:c r="A4" s="0">
        <x:v>3</x:v>
      </x:c>
      <x:c r="B4" s="0" t="s">
        <x:v>20</x:v>
      </x:c>
      <x:c r="C4" s="0" t="s">
        <x:v>21</x:v>
      </x:c>
      <x:c r="D4" s="0" t="s">
        <x:v>22</x:v>
      </x:c>
      <x:c r="E4" s="0">
        <x:v>1</x:v>
      </x:c>
      <x:c r="F4" s="0">
        <x:v>2</x:v>
      </x:c>
      <x:c r="G4" s="8">
        <x:v>150</x:v>
      </x:c>
      <x:c r="H4" s="8">
        <x:v>300</x:v>
      </x:c>
      <x:c r="I4" s="0" t="s">
        <x:v>23</x:v>
      </x:c>
      <x:c r="K4" s="8">
        <x:v>300</x:v>
      </x:c>
      <x:c r="L4" s="0" t="s">
        <x:v>24</x:v>
      </x:c>
      <x:c r="M4" s="0" t="s">
        <x:v>25</x:v>
      </x:c>
      <x:c r="N4" s="0" t="s">
        <x:v>26</x:v>
      </x:c>
      <x:c r="P4" s="0" t="s">
        <x:v>27</x:v>
      </x:c>
    </x:row>
    <x:row r="5" spans="1:20">
      <x:c r="A5" s="0">
        <x:v>4</x:v>
      </x:c>
      <x:c r="B5" s="0" t="s">
        <x:v>29</x:v>
      </x:c>
      <x:c r="C5" s="0" t="s">
        <x:v>21</x:v>
      </x:c>
      <x:c r="D5" s="0" t="s">
        <x:v>22</x:v>
      </x:c>
      <x:c r="E5" s="0">
        <x:v>1</x:v>
      </x:c>
      <x:c r="F5" s="0">
        <x:v>2</x:v>
      </x:c>
      <x:c r="G5" s="8">
        <x:v>250</x:v>
      </x:c>
      <x:c r="H5" s="8">
        <x:v>500</x:v>
      </x:c>
      <x:c r="I5" s="0" t="s">
        <x:v>23</x:v>
      </x:c>
      <x:c r="K5" s="8">
        <x:v>500</x:v>
      </x:c>
      <x:c r="L5" s="0" t="s">
        <x:v>24</x:v>
      </x:c>
      <x:c r="M5" s="0" t="s">
        <x:v>25</x:v>
      </x:c>
      <x:c r="N5" s="0" t="s">
        <x:v>26</x:v>
      </x:c>
      <x:c r="P5" s="0" t="s">
        <x:v>27</x:v>
      </x:c>
    </x:row>
    <x:row r="6" spans="1:20">
      <x:c r="A6" s="0">
        <x:v>5</x:v>
      </x:c>
      <x:c r="B6" s="0" t="s">
        <x:v>30</x:v>
      </x:c>
      <x:c r="C6" s="0" t="s">
        <x:v>21</x:v>
      </x:c>
      <x:c r="D6" s="0" t="s">
        <x:v>22</x:v>
      </x:c>
      <x:c r="E6" s="0">
        <x:v>1</x:v>
      </x:c>
      <x:c r="F6" s="0">
        <x:v>8</x:v>
      </x:c>
      <x:c r="G6" s="8">
        <x:v>325.88</x:v>
      </x:c>
      <x:c r="H6" s="8">
        <x:v>2607</x:v>
      </x:c>
      <x:c r="I6" s="0" t="s">
        <x:v>23</x:v>
      </x:c>
      <x:c r="K6" s="8">
        <x:v>2607</x:v>
      </x:c>
      <x:c r="L6" s="0" t="s">
        <x:v>24</x:v>
      </x:c>
      <x:c r="M6" s="0" t="s">
        <x:v>25</x:v>
      </x:c>
      <x:c r="N6" s="0" t="s">
        <x:v>26</x:v>
      </x:c>
      <x:c r="P6" s="0" t="s">
        <x:v>27</x:v>
      </x:c>
    </x:row>
    <x:row r="7" spans="1:20">
      <x:c r="A7" s="0">
        <x:v>6</x:v>
      </x:c>
      <x:c r="B7" s="0" t="s">
        <x:v>31</x:v>
      </x:c>
      <x:c r="C7" s="0" t="s">
        <x:v>21</x:v>
      </x:c>
      <x:c r="D7" s="0" t="s">
        <x:v>22</x:v>
      </x:c>
      <x:c r="E7" s="0">
        <x:v>1</x:v>
      </x:c>
      <x:c r="F7" s="0">
        <x:v>1</x:v>
      </x:c>
      <x:c r="G7" s="8">
        <x:v>90</x:v>
      </x:c>
      <x:c r="H7" s="8">
        <x:v>90</x:v>
      </x:c>
      <x:c r="I7" s="0" t="s">
        <x:v>23</x:v>
      </x:c>
      <x:c r="K7" s="8">
        <x:v>90</x:v>
      </x:c>
      <x:c r="L7" s="0" t="s">
        <x:v>24</x:v>
      </x:c>
      <x:c r="M7" s="0" t="s">
        <x:v>25</x:v>
      </x:c>
      <x:c r="N7" s="0" t="s">
        <x:v>26</x:v>
      </x:c>
      <x:c r="P7" s="0" t="s">
        <x:v>27</x:v>
      </x:c>
    </x:row>
    <x:row r="8" spans="1:20">
      <x:c r="A8" s="0">
        <x:v>7</x:v>
      </x:c>
      <x:c r="B8" s="0" t="s">
        <x:v>79</x:v>
      </x:c>
      <x:c r="C8" s="0" t="s">
        <x:v>21</x:v>
      </x:c>
      <x:c r="D8" s="0" t="s">
        <x:v>34</x:v>
      </x:c>
      <x:c r="E8" s="0">
        <x:v>1</x:v>
      </x:c>
      <x:c r="F8" s="0">
        <x:v>0.205</x:v>
      </x:c>
      <x:c r="G8" s="8">
        <x:v>2180</x:v>
      </x:c>
      <x:c r="H8" s="8">
        <x:v>446.9</x:v>
      </x:c>
      <x:c r="I8" s="0" t="s">
        <x:v>23</x:v>
      </x:c>
      <x:c r="K8" s="8">
        <x:v>446.9</x:v>
      </x:c>
      <x:c r="L8" s="0" t="s">
        <x:v>24</x:v>
      </x:c>
      <x:c r="M8" s="0" t="s">
        <x:v>25</x:v>
      </x:c>
      <x:c r="N8" s="0" t="s">
        <x:v>26</x:v>
      </x:c>
      <x:c r="P8" s="0" t="s">
        <x:v>27</x:v>
      </x:c>
    </x:row>
    <x:row r="9" spans="1:20">
      <x:c r="A9" s="0">
        <x:v>8</x:v>
      </x:c>
      <x:c r="B9" s="0" t="s">
        <x:v>63</x:v>
      </x:c>
      <x:c r="C9" s="0" t="s">
        <x:v>21</x:v>
      </x:c>
      <x:c r="D9" s="0" t="s">
        <x:v>34</x:v>
      </x:c>
      <x:c r="E9" s="0">
        <x:v>1</x:v>
      </x:c>
      <x:c r="F9" s="0">
        <x:v>0.018</x:v>
      </x:c>
      <x:c r="G9" s="8">
        <x:v>5555.56</x:v>
      </x:c>
      <x:c r="H9" s="8">
        <x:v>100</x:v>
      </x:c>
      <x:c r="I9" s="0" t="s">
        <x:v>23</x:v>
      </x:c>
      <x:c r="K9" s="8">
        <x:v>100</x:v>
      </x:c>
      <x:c r="L9" s="0" t="s">
        <x:v>24</x:v>
      </x:c>
      <x:c r="M9" s="0" t="s">
        <x:v>25</x:v>
      </x:c>
      <x:c r="N9" s="0" t="s">
        <x:v>26</x:v>
      </x:c>
      <x:c r="P9" s="0" t="s">
        <x:v>27</x:v>
      </x:c>
    </x:row>
    <x:row r="10" spans="1:20">
      <x:c r="A10" s="0">
        <x:v>9</x:v>
      </x:c>
      <x:c r="B10" s="0" t="s">
        <x:v>66</x:v>
      </x:c>
      <x:c r="C10" s="0" t="s">
        <x:v>21</x:v>
      </x:c>
      <x:c r="D10" s="0" t="s">
        <x:v>34</x:v>
      </x:c>
      <x:c r="E10" s="0">
        <x:v>1</x:v>
      </x:c>
      <x:c r="F10" s="0">
        <x:v>0.1</x:v>
      </x:c>
      <x:c r="G10" s="8">
        <x:v>4680</x:v>
      </x:c>
      <x:c r="H10" s="8">
        <x:v>468</x:v>
      </x:c>
      <x:c r="I10" s="0" t="s">
        <x:v>23</x:v>
      </x:c>
      <x:c r="K10" s="8">
        <x:v>468</x:v>
      </x:c>
      <x:c r="L10" s="0" t="s">
        <x:v>24</x:v>
      </x:c>
      <x:c r="M10" s="0" t="s">
        <x:v>25</x:v>
      </x:c>
      <x:c r="N10" s="0" t="s">
        <x:v>26</x:v>
      </x:c>
      <x:c r="P10" s="0" t="s">
        <x:v>27</x:v>
      </x:c>
    </x:row>
    <x:row r="11" spans="1:20">
      <x:c r="A11" s="0">
        <x:v>10</x:v>
      </x:c>
      <x:c r="B11" s="0" t="s">
        <x:v>70</x:v>
      </x:c>
      <x:c r="C11" s="0" t="s">
        <x:v>21</x:v>
      </x:c>
      <x:c r="D11" s="0" t="s">
        <x:v>22</x:v>
      </x:c>
      <x:c r="E11" s="0">
        <x:v>1</x:v>
      </x:c>
      <x:c r="F11" s="0">
        <x:v>1</x:v>
      </x:c>
      <x:c r="G11" s="8">
        <x:v>212.21</x:v>
      </x:c>
      <x:c r="H11" s="8">
        <x:v>212.21</x:v>
      </x:c>
      <x:c r="I11" s="0" t="s">
        <x:v>23</x:v>
      </x:c>
      <x:c r="K11" s="8">
        <x:v>212.21</x:v>
      </x:c>
      <x:c r="L11" s="0" t="s">
        <x:v>24</x:v>
      </x:c>
      <x:c r="M11" s="0" t="s">
        <x:v>25</x:v>
      </x:c>
      <x:c r="N11" s="0" t="s">
        <x:v>26</x:v>
      </x:c>
      <x:c r="P11" s="0" t="s">
        <x:v>27</x:v>
      </x:c>
    </x:row>
    <x:row r="12" spans="1:20">
      <x:c r="A12" s="0">
        <x:v>11</x:v>
      </x:c>
      <x:c r="B12" s="0" t="s">
        <x:v>37</x:v>
      </x:c>
      <x:c r="C12" s="0" t="s">
        <x:v>21</x:v>
      </x:c>
      <x:c r="D12" s="0" t="s">
        <x:v>22</x:v>
      </x:c>
      <x:c r="E12" s="0">
        <x:v>1</x:v>
      </x:c>
      <x:c r="F12" s="0">
        <x:v>2</x:v>
      </x:c>
      <x:c r="G12" s="8">
        <x:v>198.05</x:v>
      </x:c>
      <x:c r="H12" s="8">
        <x:v>396.1</x:v>
      </x:c>
      <x:c r="I12" s="0" t="s">
        <x:v>23</x:v>
      </x:c>
      <x:c r="K12" s="8">
        <x:v>396.1</x:v>
      </x:c>
      <x:c r="L12" s="0" t="s">
        <x:v>24</x:v>
      </x:c>
      <x:c r="M12" s="0" t="s">
        <x:v>25</x:v>
      </x:c>
      <x:c r="N12" s="0" t="s">
        <x:v>26</x:v>
      </x:c>
      <x:c r="P12" s="0" t="s">
        <x:v>27</x:v>
      </x:c>
    </x:row>
    <x:row r="13" spans="1:20">
      <x:c r="A13" s="0">
        <x:v>12</x:v>
      </x:c>
      <x:c r="B13" s="0" t="s">
        <x:v>39</x:v>
      </x:c>
      <x:c r="C13" s="0" t="s">
        <x:v>21</x:v>
      </x:c>
      <x:c r="D13" s="0" t="s">
        <x:v>22</x:v>
      </x:c>
      <x:c r="E13" s="0">
        <x:v>1</x:v>
      </x:c>
      <x:c r="F13" s="0">
        <x:v>3</x:v>
      </x:c>
      <x:c r="G13" s="8">
        <x:v>237.5</x:v>
      </x:c>
      <x:c r="H13" s="8">
        <x:v>712.5</x:v>
      </x:c>
      <x:c r="I13" s="0" t="s">
        <x:v>23</x:v>
      </x:c>
      <x:c r="K13" s="8">
        <x:v>712.5</x:v>
      </x:c>
      <x:c r="L13" s="0" t="s">
        <x:v>24</x:v>
      </x:c>
      <x:c r="M13" s="0" t="s">
        <x:v>25</x:v>
      </x:c>
      <x:c r="N13" s="0" t="s">
        <x:v>26</x:v>
      </x:c>
      <x:c r="P13" s="0" t="s">
        <x:v>27</x:v>
      </x:c>
    </x:row>
    <x:row r="14" spans="1:20">
      <x:c r="A14" s="0">
        <x:v>13</x:v>
      </x:c>
      <x:c r="B14" s="0" t="s">
        <x:v>40</x:v>
      </x:c>
      <x:c r="C14" s="0" t="s">
        <x:v>21</x:v>
      </x:c>
      <x:c r="D14" s="0" t="s">
        <x:v>22</x:v>
      </x:c>
      <x:c r="E14" s="0">
        <x:v>1</x:v>
      </x:c>
      <x:c r="F14" s="0">
        <x:v>2</x:v>
      </x:c>
      <x:c r="G14" s="8">
        <x:v>400</x:v>
      </x:c>
      <x:c r="H14" s="8">
        <x:v>800</x:v>
      </x:c>
      <x:c r="I14" s="0" t="s">
        <x:v>23</x:v>
      </x:c>
      <x:c r="K14" s="8">
        <x:v>800</x:v>
      </x:c>
      <x:c r="L14" s="0" t="s">
        <x:v>24</x:v>
      </x:c>
      <x:c r="M14" s="0" t="s">
        <x:v>25</x:v>
      </x:c>
      <x:c r="N14" s="0" t="s">
        <x:v>26</x:v>
      </x:c>
      <x:c r="P14" s="0" t="s">
        <x:v>27</x:v>
      </x:c>
    </x:row>
    <x:row r="15" spans="1:20">
      <x:c r="A15" s="0">
        <x:v>14</x:v>
      </x:c>
      <x:c r="B15" s="0" t="s">
        <x:v>44</x:v>
      </x:c>
      <x:c r="C15" s="0" t="s">
        <x:v>21</x:v>
      </x:c>
      <x:c r="D15" s="0" t="s">
        <x:v>22</x:v>
      </x:c>
      <x:c r="E15" s="0">
        <x:v>1</x:v>
      </x:c>
      <x:c r="F15" s="0">
        <x:v>4</x:v>
      </x:c>
      <x:c r="G15" s="8">
        <x:v>85</x:v>
      </x:c>
      <x:c r="H15" s="8">
        <x:v>340</x:v>
      </x:c>
      <x:c r="I15" s="0" t="s">
        <x:v>23</x:v>
      </x:c>
      <x:c r="K15" s="8">
        <x:v>340</x:v>
      </x:c>
      <x:c r="L15" s="0" t="s">
        <x:v>24</x:v>
      </x:c>
      <x:c r="M15" s="0" t="s">
        <x:v>25</x:v>
      </x:c>
      <x:c r="N15" s="0" t="s">
        <x:v>26</x:v>
      </x:c>
      <x:c r="P15" s="0" t="s">
        <x:v>27</x:v>
      </x:c>
    </x:row>
    <x:row r="16" spans="1:20">
      <x:c r="A16" s="0">
        <x:v>15</x:v>
      </x:c>
      <x:c r="B16" s="0" t="s">
        <x:v>45</x:v>
      </x:c>
      <x:c r="C16" s="0" t="s">
        <x:v>21</x:v>
      </x:c>
      <x:c r="D16" s="0" t="s">
        <x:v>22</x:v>
      </x:c>
      <x:c r="E16" s="0">
        <x:v>1</x:v>
      </x:c>
      <x:c r="F16" s="0">
        <x:v>2</x:v>
      </x:c>
      <x:c r="G16" s="8">
        <x:v>101.75</x:v>
      </x:c>
      <x:c r="H16" s="8">
        <x:v>203.5</x:v>
      </x:c>
      <x:c r="I16" s="0" t="s">
        <x:v>23</x:v>
      </x:c>
      <x:c r="K16" s="8">
        <x:v>203.5</x:v>
      </x:c>
      <x:c r="L16" s="0" t="s">
        <x:v>24</x:v>
      </x:c>
      <x:c r="M16" s="0" t="s">
        <x:v>25</x:v>
      </x:c>
      <x:c r="N16" s="0" t="s">
        <x:v>26</x:v>
      </x:c>
      <x:c r="P16" s="0" t="s">
        <x:v>27</x:v>
      </x:c>
    </x:row>
    <x:row r="17" spans="1:20">
      <x:c r="A17" s="0">
        <x:v>16</x:v>
      </x:c>
      <x:c r="B17" s="0" t="s">
        <x:v>46</x:v>
      </x:c>
      <x:c r="C17" s="0" t="s">
        <x:v>21</x:v>
      </x:c>
      <x:c r="D17" s="0" t="s">
        <x:v>22</x:v>
      </x:c>
      <x:c r="E17" s="0">
        <x:v>1</x:v>
      </x:c>
      <x:c r="F17" s="0">
        <x:v>2</x:v>
      </x:c>
      <x:c r="G17" s="8">
        <x:v>180</x:v>
      </x:c>
      <x:c r="H17" s="8">
        <x:v>360</x:v>
      </x:c>
      <x:c r="I17" s="0" t="s">
        <x:v>23</x:v>
      </x:c>
      <x:c r="K17" s="8">
        <x:v>360</x:v>
      </x:c>
      <x:c r="L17" s="0" t="s">
        <x:v>24</x:v>
      </x:c>
      <x:c r="M17" s="0" t="s">
        <x:v>25</x:v>
      </x:c>
      <x:c r="N17" s="0" t="s">
        <x:v>26</x:v>
      </x:c>
      <x:c r="P17" s="0" t="s">
        <x:v>27</x:v>
      </x:c>
    </x:row>
    <x:row r="18" spans="1:20">
      <x:c r="A18" s="0">
        <x:v>17</x:v>
      </x:c>
      <x:c r="B18" s="0" t="s">
        <x:v>47</x:v>
      </x:c>
      <x:c r="C18" s="0" t="s">
        <x:v>21</x:v>
      </x:c>
      <x:c r="D18" s="0" t="s">
        <x:v>22</x:v>
      </x:c>
      <x:c r="E18" s="0">
        <x:v>1</x:v>
      </x:c>
      <x:c r="F18" s="0">
        <x:v>4</x:v>
      </x:c>
      <x:c r="G18" s="8">
        <x:v>259.88</x:v>
      </x:c>
      <x:c r="H18" s="8">
        <x:v>1039.5</x:v>
      </x:c>
      <x:c r="I18" s="0" t="s">
        <x:v>23</x:v>
      </x:c>
      <x:c r="K18" s="8">
        <x:v>1039.5</x:v>
      </x:c>
      <x:c r="L18" s="0" t="s">
        <x:v>24</x:v>
      </x:c>
      <x:c r="M18" s="0" t="s">
        <x:v>25</x:v>
      </x:c>
      <x:c r="N18" s="0" t="s">
        <x:v>26</x:v>
      </x:c>
      <x:c r="P18" s="0" t="s">
        <x:v>27</x:v>
      </x:c>
    </x:row>
    <x:row r="19" spans="1:20">
      <x:c r="A19" s="0">
        <x:v>18</x:v>
      </x:c>
      <x:c r="B19" s="0" t="s">
        <x:v>71</x:v>
      </x:c>
      <x:c r="C19" s="0" t="s">
        <x:v>21</x:v>
      </x:c>
      <x:c r="D19" s="0" t="s">
        <x:v>22</x:v>
      </x:c>
      <x:c r="E19" s="0">
        <x:v>1</x:v>
      </x:c>
      <x:c r="F19" s="0">
        <x:v>2</x:v>
      </x:c>
      <x:c r="G19" s="8">
        <x:v>150</x:v>
      </x:c>
      <x:c r="H19" s="8">
        <x:v>300</x:v>
      </x:c>
      <x:c r="I19" s="0" t="s">
        <x:v>23</x:v>
      </x:c>
      <x:c r="K19" s="8">
        <x:v>300</x:v>
      </x:c>
      <x:c r="L19" s="0" t="s">
        <x:v>24</x:v>
      </x:c>
      <x:c r="M19" s="0" t="s">
        <x:v>25</x:v>
      </x:c>
      <x:c r="N19" s="0" t="s">
        <x:v>26</x:v>
      </x:c>
      <x:c r="P19" s="0" t="s">
        <x:v>27</x:v>
      </x:c>
    </x:row>
    <x:row r="20" spans="1:20">
      <x:c r="A20" s="0">
        <x:v>19</x:v>
      </x:c>
      <x:c r="B20" s="0" t="s">
        <x:v>49</x:v>
      </x:c>
      <x:c r="C20" s="0" t="s">
        <x:v>21</x:v>
      </x:c>
      <x:c r="D20" s="0" t="s">
        <x:v>22</x:v>
      </x:c>
      <x:c r="E20" s="0">
        <x:v>1</x:v>
      </x:c>
      <x:c r="F20" s="0">
        <x:v>1</x:v>
      </x:c>
      <x:c r="G20" s="8">
        <x:v>212.5</x:v>
      </x:c>
      <x:c r="H20" s="8">
        <x:v>212.5</x:v>
      </x:c>
      <x:c r="I20" s="0" t="s">
        <x:v>23</x:v>
      </x:c>
      <x:c r="K20" s="8">
        <x:v>212.5</x:v>
      </x:c>
      <x:c r="L20" s="0" t="s">
        <x:v>24</x:v>
      </x:c>
      <x:c r="M20" s="0" t="s">
        <x:v>25</x:v>
      </x:c>
      <x:c r="N20" s="0" t="s">
        <x:v>26</x:v>
      </x:c>
      <x:c r="P20" s="0" t="s">
        <x:v>27</x:v>
      </x:c>
    </x:row>
    <x:row r="21" spans="1:20">
      <x:c r="A21" s="0">
        <x:v>20</x:v>
      </x:c>
      <x:c r="B21" s="0" t="s">
        <x:v>95</x:v>
      </x:c>
      <x:c r="C21" s="0" t="s">
        <x:v>21</x:v>
      </x:c>
      <x:c r="D21" s="0" t="s">
        <x:v>22</x:v>
      </x:c>
      <x:c r="E21" s="0">
        <x:v>1</x:v>
      </x:c>
      <x:c r="F21" s="0">
        <x:v>3</x:v>
      </x:c>
      <x:c r="G21" s="8">
        <x:v>300</x:v>
      </x:c>
      <x:c r="H21" s="8">
        <x:v>900</x:v>
      </x:c>
      <x:c r="I21" s="0" t="s">
        <x:v>23</x:v>
      </x:c>
      <x:c r="K21" s="8">
        <x:v>900</x:v>
      </x:c>
      <x:c r="L21" s="0" t="s">
        <x:v>24</x:v>
      </x:c>
      <x:c r="M21" s="0" t="s">
        <x:v>25</x:v>
      </x:c>
      <x:c r="N21" s="0" t="s">
        <x:v>26</x:v>
      </x:c>
      <x:c r="P21" s="0" t="s">
        <x:v>27</x:v>
      </x:c>
    </x:row>
    <x:row r="22" spans="1:20">
      <x:c r="A22" s="0">
        <x:v>21</x:v>
      </x:c>
      <x:c r="B22" s="0" t="s">
        <x:v>50</x:v>
      </x:c>
      <x:c r="C22" s="0" t="s">
        <x:v>21</x:v>
      </x:c>
      <x:c r="D22" s="0" t="s">
        <x:v>22</x:v>
      </x:c>
      <x:c r="E22" s="0">
        <x:v>1</x:v>
      </x:c>
      <x:c r="F22" s="0">
        <x:v>3</x:v>
      </x:c>
      <x:c r="G22" s="8">
        <x:v>110.93</x:v>
      </x:c>
      <x:c r="H22" s="8">
        <x:v>332.79</x:v>
      </x:c>
      <x:c r="I22" s="0" t="s">
        <x:v>23</x:v>
      </x:c>
      <x:c r="K22" s="8">
        <x:v>332.79</x:v>
      </x:c>
      <x:c r="L22" s="0" t="s">
        <x:v>24</x:v>
      </x:c>
      <x:c r="M22" s="0" t="s">
        <x:v>25</x:v>
      </x:c>
      <x:c r="N22" s="0" t="s">
        <x:v>26</x:v>
      </x:c>
      <x:c r="P22" s="0" t="s">
        <x:v>27</x:v>
      </x:c>
    </x:row>
    <x:row r="23" spans="1:20">
      <x:c r="A23" s="0">
        <x:v>22</x:v>
      </x:c>
      <x:c r="B23" s="0" t="s">
        <x:v>51</x:v>
      </x:c>
      <x:c r="C23" s="0" t="s">
        <x:v>21</x:v>
      </x:c>
      <x:c r="D23" s="0" t="s">
        <x:v>22</x:v>
      </x:c>
      <x:c r="E23" s="0">
        <x:v>1</x:v>
      </x:c>
      <x:c r="F23" s="0">
        <x:v>9</x:v>
      </x:c>
      <x:c r="G23" s="8">
        <x:v>53.21</x:v>
      </x:c>
      <x:c r="H23" s="8">
        <x:v>478.9</x:v>
      </x:c>
      <x:c r="I23" s="0" t="s">
        <x:v>23</x:v>
      </x:c>
      <x:c r="K23" s="8">
        <x:v>478.9</x:v>
      </x:c>
      <x:c r="L23" s="0" t="s">
        <x:v>24</x:v>
      </x:c>
      <x:c r="M23" s="0" t="s">
        <x:v>25</x:v>
      </x:c>
      <x:c r="N23" s="0" t="s">
        <x:v>26</x:v>
      </x:c>
      <x:c r="P23" s="0" t="s">
        <x:v>27</x:v>
      </x:c>
    </x:row>
    <x:row r="24" spans="1:20">
      <x:c r="A24" s="0">
        <x:v>23</x:v>
      </x:c>
      <x:c r="B24" s="0" t="s">
        <x:v>52</x:v>
      </x:c>
      <x:c r="C24" s="0" t="s">
        <x:v>21</x:v>
      </x:c>
      <x:c r="D24" s="0" t="s">
        <x:v>22</x:v>
      </x:c>
      <x:c r="E24" s="0">
        <x:v>1</x:v>
      </x:c>
      <x:c r="F24" s="0">
        <x:v>2</x:v>
      </x:c>
      <x:c r="G24" s="8">
        <x:v>229.25</x:v>
      </x:c>
      <x:c r="H24" s="8">
        <x:v>458.5</x:v>
      </x:c>
      <x:c r="I24" s="0" t="s">
        <x:v>23</x:v>
      </x:c>
      <x:c r="K24" s="8">
        <x:v>458.5</x:v>
      </x:c>
      <x:c r="L24" s="0" t="s">
        <x:v>24</x:v>
      </x:c>
      <x:c r="M24" s="0" t="s">
        <x:v>25</x:v>
      </x:c>
      <x:c r="N24" s="0" t="s">
        <x:v>26</x:v>
      </x:c>
      <x:c r="P24" s="0" t="s">
        <x:v>27</x:v>
      </x:c>
    </x:row>
    <x:row r="25" spans="1:20">
      <x:c r="A25" s="0">
        <x:v>24</x:v>
      </x:c>
      <x:c r="B25" s="0" t="s">
        <x:v>53</x:v>
      </x:c>
      <x:c r="C25" s="0" t="s">
        <x:v>21</x:v>
      </x:c>
      <x:c r="D25" s="0" t="s">
        <x:v>22</x:v>
      </x:c>
      <x:c r="E25" s="0">
        <x:v>1</x:v>
      </x:c>
      <x:c r="F25" s="0">
        <x:v>4</x:v>
      </x:c>
      <x:c r="G25" s="8">
        <x:v>38.5</x:v>
      </x:c>
      <x:c r="H25" s="8">
        <x:v>154</x:v>
      </x:c>
      <x:c r="I25" s="0" t="s">
        <x:v>23</x:v>
      </x:c>
      <x:c r="K25" s="8">
        <x:v>154</x:v>
      </x:c>
      <x:c r="L25" s="0" t="s">
        <x:v>24</x:v>
      </x:c>
      <x:c r="M25" s="0" t="s">
        <x:v>25</x:v>
      </x:c>
      <x:c r="N25" s="0" t="s">
        <x:v>26</x:v>
      </x:c>
      <x:c r="P25" s="0" t="s">
        <x:v>27</x:v>
      </x:c>
    </x:row>
    <x:row r="26" spans="1:20">
      <x:c r="A26" s="0">
        <x:v>25</x:v>
      </x:c>
      <x:c r="B26" s="0" t="s">
        <x:v>54</x:v>
      </x:c>
      <x:c r="C26" s="0" t="s">
        <x:v>21</x:v>
      </x:c>
      <x:c r="D26" s="0" t="s">
        <x:v>22</x:v>
      </x:c>
      <x:c r="E26" s="0">
        <x:v>1</x:v>
      </x:c>
      <x:c r="F26" s="0">
        <x:v>1</x:v>
      </x:c>
      <x:c r="G26" s="8">
        <x:v>230</x:v>
      </x:c>
      <x:c r="H26" s="8">
        <x:v>230</x:v>
      </x:c>
      <x:c r="I26" s="0" t="s">
        <x:v>23</x:v>
      </x:c>
      <x:c r="K26" s="8">
        <x:v>230</x:v>
      </x:c>
      <x:c r="L26" s="0" t="s">
        <x:v>24</x:v>
      </x:c>
      <x:c r="M26" s="0" t="s">
        <x:v>25</x:v>
      </x:c>
      <x:c r="N26" s="0" t="s">
        <x:v>26</x:v>
      </x:c>
      <x:c r="P26" s="0" t="s">
        <x:v>27</x:v>
      </x:c>
    </x:row>
    <x:row r="27" spans="1:20">
      <x:c r="A27" s="0">
        <x:v>26</x:v>
      </x:c>
      <x:c r="B27" s="0" t="s">
        <x:v>55</x:v>
      </x:c>
      <x:c r="C27" s="0" t="s">
        <x:v>21</x:v>
      </x:c>
      <x:c r="D27" s="0" t="s">
        <x:v>22</x:v>
      </x:c>
      <x:c r="E27" s="0">
        <x:v>1</x:v>
      </x:c>
      <x:c r="F27" s="0">
        <x:v>3</x:v>
      </x:c>
      <x:c r="G27" s="8">
        <x:v>320.67</x:v>
      </x:c>
      <x:c r="H27" s="8">
        <x:v>962</x:v>
      </x:c>
      <x:c r="I27" s="0" t="s">
        <x:v>23</x:v>
      </x:c>
      <x:c r="K27" s="8">
        <x:v>962</x:v>
      </x:c>
      <x:c r="L27" s="0" t="s">
        <x:v>24</x:v>
      </x:c>
      <x:c r="M27" s="0" t="s">
        <x:v>25</x:v>
      </x:c>
      <x:c r="N27" s="0" t="s">
        <x:v>26</x:v>
      </x:c>
      <x:c r="P27" s="0" t="s">
        <x:v>27</x:v>
      </x:c>
    </x:row>
    <x:row r="28" spans="1:20">
      <x:c r="A28" s="0">
        <x:v>27</x:v>
      </x:c>
      <x:c r="B28" s="0" t="s">
        <x:v>57</x:v>
      </x:c>
      <x:c r="C28" s="0" t="s">
        <x:v>21</x:v>
      </x:c>
      <x:c r="D28" s="0" t="s">
        <x:v>22</x:v>
      </x:c>
      <x:c r="E28" s="0">
        <x:v>1</x:v>
      </x:c>
      <x:c r="F28" s="0">
        <x:v>2</x:v>
      </x:c>
      <x:c r="G28" s="8">
        <x:v>142.5</x:v>
      </x:c>
      <x:c r="H28" s="8">
        <x:v>285</x:v>
      </x:c>
      <x:c r="I28" s="0" t="s">
        <x:v>23</x:v>
      </x:c>
      <x:c r="K28" s="8">
        <x:v>285</x:v>
      </x:c>
      <x:c r="L28" s="0" t="s">
        <x:v>24</x:v>
      </x:c>
      <x:c r="M28" s="0" t="s">
        <x:v>25</x:v>
      </x:c>
      <x:c r="N28" s="0" t="s">
        <x:v>26</x:v>
      </x:c>
      <x:c r="P28" s="0" t="s">
        <x:v>27</x:v>
      </x:c>
    </x:row>
    <x:row r="29" spans="1:20">
      <x:c r="A29" s="0">
        <x:v>28</x:v>
      </x:c>
      <x:c r="B29" s="0" t="s">
        <x:v>58</x:v>
      </x:c>
      <x:c r="C29" s="0" t="s">
        <x:v>21</x:v>
      </x:c>
      <x:c r="D29" s="0" t="s">
        <x:v>22</x:v>
      </x:c>
      <x:c r="E29" s="0">
        <x:v>1</x:v>
      </x:c>
      <x:c r="F29" s="0">
        <x:v>1</x:v>
      </x:c>
      <x:c r="G29" s="8">
        <x:v>238</x:v>
      </x:c>
      <x:c r="H29" s="8">
        <x:v>238</x:v>
      </x:c>
      <x:c r="I29" s="0" t="s">
        <x:v>23</x:v>
      </x:c>
      <x:c r="K29" s="8">
        <x:v>238</x:v>
      </x:c>
      <x:c r="L29" s="0" t="s">
        <x:v>24</x:v>
      </x:c>
      <x:c r="M29" s="0" t="s">
        <x:v>25</x:v>
      </x:c>
      <x:c r="N29" s="0" t="s">
        <x:v>26</x:v>
      </x:c>
      <x:c r="P29" s="0" t="s">
        <x:v>27</x:v>
      </x:c>
    </x:row>
    <x:row r="30" spans="1:20">
      <x:c r="A30" s="0">
        <x:v>29</x:v>
      </x:c>
      <x:c r="B30" s="0" t="s">
        <x:v>60</x:v>
      </x:c>
      <x:c r="C30" s="0" t="s">
        <x:v>21</x:v>
      </x:c>
      <x:c r="D30" s="0" t="s">
        <x:v>22</x:v>
      </x:c>
      <x:c r="E30" s="0">
        <x:v>1</x:v>
      </x:c>
      <x:c r="F30" s="0">
        <x:v>2</x:v>
      </x:c>
      <x:c r="G30" s="8">
        <x:v>150</x:v>
      </x:c>
      <x:c r="H30" s="8">
        <x:v>300</x:v>
      </x:c>
      <x:c r="I30" s="0" t="s">
        <x:v>23</x:v>
      </x:c>
      <x:c r="K30" s="8">
        <x:v>300</x:v>
      </x:c>
      <x:c r="L30" s="0" t="s">
        <x:v>24</x:v>
      </x:c>
      <x:c r="M30" s="0" t="s">
        <x:v>25</x:v>
      </x:c>
      <x:c r="N30" s="0" t="s">
        <x:v>26</x:v>
      </x:c>
      <x:c r="P30" s="0" t="s">
        <x:v>27</x:v>
      </x:c>
    </x:row>
    <x:row r="31" spans="1:20">
      <x:c r="H31" s="18">
        <x:f>SUM(H2:H30)</x:f>
      </x:c>
    </x:row>
    <x:row r="33" spans="1:20">
      <x:c r="B33" s="19" t="s">
        <x:v>163</x:v>
      </x:c>
      <x:c r="C33" s="20"/>
      <x:c r="D33" s="20"/>
      <x:c r="E33" s="20"/>
      <x:c r="F33" s="20"/>
      <x:c r="G33" s="20"/>
      <x:c r="H33" s="21">
        <x:f>SUM(H34:H36)</x:f>
      </x:c>
      <x:c r="I33" s="22" t="s">
        <x:v>164</x:v>
      </x:c>
    </x:row>
    <x:row r="34" spans="1:20">
      <x:c r="B34" s="21" t="s">
        <x:v>165</x:v>
      </x:c>
      <x:c r="C34" s="21"/>
      <x:c r="D34" s="21"/>
      <x:c r="E34" s="21"/>
      <x:c r="F34" s="20">
        <x:f>F2+F3+F4+F5+F6+F11+F12+F13+F14+F18+F19+F20+F21+F24+F28+F29+F30</x:f>
      </x:c>
      <x:c r="G34" s="20">
        <x:f>G2+G3+G4+G5+G6+G11+G12+G13+G14+G18+G19+G20+G21+G24+G28+G29+G30</x:f>
      </x:c>
      <x:c r="H34" s="20">
        <x:f>H2+H3+H4+H5+H6+H11+H12+H13+H14+H18+H19+H20+H21+H24+H28+H29+H30</x:f>
      </x:c>
      <x:c r="I34" s="15"/>
    </x:row>
    <x:row r="35" spans="1:20">
      <x:c r="B35" s="21" t="s">
        <x:v>166</x:v>
      </x:c>
      <x:c r="C35" s="21"/>
      <x:c r="D35" s="21"/>
      <x:c r="E35" s="21"/>
      <x:c r="F35" s="20"/>
      <x:c r="G35" s="20"/>
      <x:c r="H35" s="20"/>
      <x:c r="I35" s="15"/>
    </x:row>
    <x:row r="36" spans="1:20">
      <x:c r="B36" s="21" t="s">
        <x:v>167</x:v>
      </x:c>
      <x:c r="C36" s="21"/>
      <x:c r="D36" s="21"/>
      <x:c r="E36" s="21"/>
      <x:c r="F36" s="20">
        <x:f>F7+F23+F25</x:f>
      </x:c>
      <x:c r="G36" s="20">
        <x:f>G7+G23+G25</x:f>
      </x:c>
      <x:c r="H36" s="20">
        <x:f>H7+H23+H25</x:f>
      </x:c>
      <x:c r="I36" s="15"/>
    </x:row>
    <x:row r="37" spans="1:20">
      <x:c r="B37" s="19" t="s">
        <x:v>168</x:v>
      </x:c>
      <x:c r="C37" s="20"/>
      <x:c r="D37" s="20"/>
      <x:c r="E37" s="20"/>
      <x:c r="F37" s="20"/>
      <x:c r="G37" s="20"/>
      <x:c r="H37" s="21">
        <x:f>SUM(H38:H44)</x:f>
      </x:c>
      <x:c r="I37" s="22" t="s">
        <x:v>169</x:v>
      </x:c>
    </x:row>
    <x:row r="38" spans="1:20">
      <x:c r="B38" s="21" t="s">
        <x:v>170</x:v>
      </x:c>
      <x:c r="C38" s="21"/>
      <x:c r="D38" s="21"/>
      <x:c r="E38" s="21"/>
      <x:c r="F38" s="20">
        <x:f>F8+F9+F10</x:f>
      </x:c>
      <x:c r="G38" s="20">
        <x:f>G8+G9+G10</x:f>
      </x:c>
      <x:c r="H38" s="20">
        <x:f>H8+H9+H10</x:f>
      </x:c>
      <x:c r="I38" s="15"/>
    </x:row>
    <x:row r="39" spans="1:20">
      <x:c r="B39" s="21" t="s">
        <x:v>171</x:v>
      </x:c>
      <x:c r="C39" s="21"/>
      <x:c r="D39" s="21"/>
      <x:c r="E39" s="21"/>
      <x:c r="F39" s="20"/>
      <x:c r="G39" s="20"/>
      <x:c r="H39" s="20"/>
      <x:c r="I39" s="15"/>
    </x:row>
    <x:row r="40" spans="1:20">
      <x:c r="B40" s="21" t="s">
        <x:v>172</x:v>
      </x:c>
      <x:c r="C40" s="21"/>
      <x:c r="D40" s="21"/>
      <x:c r="E40" s="21"/>
      <x:c r="F40" s="20"/>
      <x:c r="G40" s="20"/>
      <x:c r="H40" s="20"/>
      <x:c r="I40" s="15"/>
    </x:row>
    <x:row r="41" spans="1:20">
      <x:c r="B41" s="21" t="s">
        <x:v>173</x:v>
      </x:c>
      <x:c r="C41" s="21"/>
      <x:c r="D41" s="21"/>
      <x:c r="E41" s="21"/>
      <x:c r="F41" s="20"/>
      <x:c r="G41" s="20"/>
      <x:c r="H41" s="20"/>
      <x:c r="I41" s="15"/>
    </x:row>
    <x:row r="42" spans="1:20">
      <x:c r="B42" s="21" t="s">
        <x:v>174</x:v>
      </x:c>
      <x:c r="C42" s="21"/>
      <x:c r="D42" s="21"/>
      <x:c r="E42" s="21"/>
      <x:c r="F42" s="20"/>
      <x:c r="G42" s="20"/>
      <x:c r="H42" s="20"/>
      <x:c r="I42" s="15"/>
    </x:row>
    <x:row r="43" spans="1:20">
      <x:c r="B43" s="21" t="s">
        <x:v>70</x:v>
      </x:c>
      <x:c r="C43" s="21"/>
      <x:c r="D43" s="21"/>
      <x:c r="E43" s="21"/>
      <x:c r="F43" s="20"/>
      <x:c r="G43" s="20"/>
      <x:c r="H43" s="20"/>
      <x:c r="I43" s="15"/>
    </x:row>
    <x:row r="44" spans="1:20">
      <x:c r="B44" s="21" t="s">
        <x:v>175</x:v>
      </x:c>
      <x:c r="C44" s="21"/>
      <x:c r="D44" s="21"/>
      <x:c r="E44" s="21"/>
      <x:c r="F44" s="20"/>
      <x:c r="G44" s="20"/>
      <x:c r="H44" s="20"/>
      <x:c r="I44" s="15"/>
    </x:row>
    <x:row r="45" spans="1:20">
      <x:c r="B45" s="19" t="s">
        <x:v>176</x:v>
      </x:c>
      <x:c r="C45" s="20"/>
      <x:c r="D45" s="20"/>
      <x:c r="E45" s="20"/>
      <x:c r="F45" s="20"/>
      <x:c r="G45" s="20"/>
      <x:c r="H45" s="21">
        <x:f>SUM(H46:H51)</x:f>
      </x:c>
      <x:c r="I45" s="22" t="s">
        <x:v>177</x:v>
      </x:c>
    </x:row>
    <x:row r="46" spans="1:20">
      <x:c r="B46" s="21" t="s">
        <x:v>178</x:v>
      </x:c>
      <x:c r="C46" s="21"/>
      <x:c r="D46" s="21"/>
      <x:c r="E46" s="21"/>
      <x:c r="F46" s="20"/>
      <x:c r="G46" s="20"/>
      <x:c r="H46" s="20"/>
      <x:c r="I46" s="15"/>
    </x:row>
    <x:row r="47" spans="1:20">
      <x:c r="B47" s="21" t="s">
        <x:v>179</x:v>
      </x:c>
      <x:c r="C47" s="21"/>
      <x:c r="D47" s="21"/>
      <x:c r="E47" s="21"/>
      <x:c r="F47" s="20">
        <x:f>F27</x:f>
      </x:c>
      <x:c r="G47" s="20">
        <x:f>G27</x:f>
      </x:c>
      <x:c r="H47" s="20">
        <x:f>H27</x:f>
      </x:c>
      <x:c r="I47" s="15"/>
    </x:row>
    <x:row r="48" spans="1:20">
      <x:c r="B48" s="21" t="s">
        <x:v>54</x:v>
      </x:c>
      <x:c r="C48" s="21"/>
      <x:c r="D48" s="21"/>
      <x:c r="E48" s="21"/>
      <x:c r="F48" s="20">
        <x:f>F26</x:f>
      </x:c>
      <x:c r="G48" s="20">
        <x:f>G26</x:f>
      </x:c>
      <x:c r="H48" s="20">
        <x:f>H26</x:f>
      </x:c>
      <x:c r="I48" s="15"/>
    </x:row>
    <x:row r="49" spans="1:20">
      <x:c r="B49" s="21" t="s">
        <x:v>180</x:v>
      </x:c>
      <x:c r="C49" s="21"/>
      <x:c r="D49" s="21"/>
      <x:c r="E49" s="21"/>
      <x:c r="F49" s="20"/>
      <x:c r="G49" s="20"/>
      <x:c r="H49" s="20"/>
      <x:c r="I49" s="15"/>
    </x:row>
    <x:row r="50" spans="1:20">
      <x:c r="B50" s="21" t="s">
        <x:v>181</x:v>
      </x:c>
      <x:c r="C50" s="21"/>
      <x:c r="D50" s="21"/>
      <x:c r="E50" s="21"/>
      <x:c r="F50" s="20">
        <x:f>F16+F17+F22</x:f>
      </x:c>
      <x:c r="G50" s="20">
        <x:f>G16+G17+G22</x:f>
      </x:c>
      <x:c r="H50" s="20">
        <x:f>H16+H17+H22</x:f>
      </x:c>
      <x:c r="I50" s="15"/>
    </x:row>
    <x:row r="51" spans="1:20">
      <x:c r="B51" s="21" t="s">
        <x:v>182</x:v>
      </x:c>
      <x:c r="C51" s="21"/>
      <x:c r="D51" s="21"/>
      <x:c r="E51" s="21"/>
      <x:c r="F51" s="20">
        <x:f>F15</x:f>
      </x:c>
      <x:c r="G51" s="20">
        <x:f>G15</x:f>
      </x:c>
      <x:c r="H51" s="20">
        <x:f>H15</x:f>
      </x:c>
      <x:c r="I51" s="15"/>
    </x:row>
    <x:row r="52" spans="1:20">
      <x:c r="B52" s="19" t="s">
        <x:v>183</x:v>
      </x:c>
      <x:c r="C52" s="20"/>
      <x:c r="D52" s="20"/>
      <x:c r="E52" s="20"/>
      <x:c r="F52" s="20"/>
      <x:c r="G52" s="20"/>
      <x:c r="H52" s="21">
        <x:f>SUM(H53:H54)</x:f>
      </x:c>
      <x:c r="I52" s="22"/>
    </x:row>
    <x:row r="53" spans="1:20">
      <x:c r="B53" s="21" t="s">
        <x:v>184</x:v>
      </x:c>
      <x:c r="C53" s="21"/>
      <x:c r="D53" s="21"/>
      <x:c r="E53" s="21"/>
      <x:c r="F53" s="20"/>
      <x:c r="G53" s="20"/>
      <x:c r="H53" s="20"/>
      <x:c r="I53" s="15"/>
    </x:row>
    <x:row r="54" spans="1:20">
      <x:c r="B54" s="21" t="s">
        <x:v>185</x:v>
      </x:c>
      <x:c r="C54" s="21"/>
      <x:c r="D54" s="21"/>
      <x:c r="E54" s="21"/>
      <x:c r="F54" s="20"/>
      <x:c r="G54" s="20"/>
      <x:c r="H54" s="20"/>
      <x:c r="I54" s="15"/>
    </x:row>
    <x:row r="55" spans="1:20">
      <x:c r="B55" s="22"/>
      <x:c r="C55" s="22"/>
      <x:c r="D55" s="22"/>
      <x:c r="E55" s="22"/>
      <x:c r="F55" s="15"/>
      <x:c r="G55" s="15"/>
      <x:c r="H55" s="22">
        <x:f>H33+H37+H45+H52</x:f>
      </x:c>
      <x:c r="I55" s="15"/>
    </x:row>
    <x:row r="56" spans="1:20">
      <x:c r="H56" s="17">
        <x:f>H55 - H31</x:f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8ED57BF-38E4-D948-BC01-876A531235AE}" mc:Ignorable="x14ac xr xr2 xr3">
  <x:sheetPr>
    <x:outlinePr summaryBelow="1" summaryRight="1"/>
  </x:sheetPr>
  <x:dimension ref="A1:T46"/>
  <x:sheetViews>
    <x:sheetView topLeftCell="A45" zoomScale="93" zoomScaleNormal="93" workbookViewId="0">
      <x:selection activeCell="A47" sqref="A47 A47:J77"/>
    </x:sheetView>
  </x:sheetViews>
  <x:sheetFormatPr defaultColWidth="11.210625" defaultRowHeight="15.75"/>
  <x:cols>
    <x:col min="1" max="1" width="11.210625" style="0" customWidth="1"/>
    <x:col min="2" max="2" width="35.875" style="0" customWidth="1"/>
    <x:col min="3" max="3" width="3.875" style="0" customWidth="1"/>
    <x:col min="4" max="4" width="2.375" style="0" customWidth="1"/>
    <x:col min="5" max="5" width="2" style="0" customWidth="1"/>
  </x:cols>
  <x:sheetData>
    <x:row r="1" spans="1:2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</x:row>
    <x:row r="2" spans="1:20">
      <x:c r="A2" s="0">
        <x:v>1</x:v>
      </x:c>
      <x:c r="B2" s="0" t="s">
        <x:v>91</x:v>
      </x:c>
      <x:c r="C2" s="0" t="s">
        <x:v>21</x:v>
      </x:c>
      <x:c r="D2" s="0" t="s">
        <x:v>22</x:v>
      </x:c>
      <x:c r="E2" s="0">
        <x:v>1</x:v>
      </x:c>
      <x:c r="F2" s="0">
        <x:v>1</x:v>
      </x:c>
      <x:c r="G2" s="8">
        <x:v>350</x:v>
      </x:c>
      <x:c r="H2" s="8">
        <x:v>350</x:v>
      </x:c>
      <x:c r="I2" s="0" t="s">
        <x:v>23</x:v>
      </x:c>
      <x:c r="K2" s="8">
        <x:v>350</x:v>
      </x:c>
      <x:c r="L2" s="0" t="s">
        <x:v>24</x:v>
      </x:c>
      <x:c r="M2" s="0" t="s">
        <x:v>25</x:v>
      </x:c>
      <x:c r="N2" s="0" t="s">
        <x:v>26</x:v>
      </x:c>
      <x:c r="P2" s="0" t="s">
        <x:v>27</x:v>
      </x:c>
    </x:row>
    <x:row r="3" spans="1:20">
      <x:c r="A3" s="0">
        <x:v>2</x:v>
      </x:c>
      <x:c r="B3" s="0" t="s">
        <x:v>20</x:v>
      </x:c>
      <x:c r="C3" s="0" t="s">
        <x:v>21</x:v>
      </x:c>
      <x:c r="D3" s="0" t="s">
        <x:v>22</x:v>
      </x:c>
      <x:c r="E3" s="0">
        <x:v>1</x:v>
      </x:c>
      <x:c r="F3" s="0">
        <x:v>2</x:v>
      </x:c>
      <x:c r="G3" s="8">
        <x:v>150</x:v>
      </x:c>
      <x:c r="H3" s="8">
        <x:v>300</x:v>
      </x:c>
      <x:c r="I3" s="0" t="s">
        <x:v>23</x:v>
      </x:c>
      <x:c r="K3" s="8">
        <x:v>300</x:v>
      </x:c>
      <x:c r="L3" s="0" t="s">
        <x:v>24</x:v>
      </x:c>
      <x:c r="M3" s="0" t="s">
        <x:v>25</x:v>
      </x:c>
      <x:c r="N3" s="0" t="s">
        <x:v>26</x:v>
      </x:c>
      <x:c r="P3" s="0" t="s">
        <x:v>27</x:v>
      </x:c>
    </x:row>
    <x:row r="4" spans="1:20">
      <x:c r="A4" s="0">
        <x:v>3</x:v>
      </x:c>
      <x:c r="B4" s="0" t="s">
        <x:v>28</x:v>
      </x:c>
      <x:c r="C4" s="0" t="s">
        <x:v>21</x:v>
      </x:c>
      <x:c r="D4" s="0" t="s">
        <x:v>22</x:v>
      </x:c>
      <x:c r="E4" s="0">
        <x:v>1</x:v>
      </x:c>
      <x:c r="F4" s="0">
        <x:v>1</x:v>
      </x:c>
      <x:c r="G4" s="8">
        <x:v>250</x:v>
      </x:c>
      <x:c r="H4" s="8">
        <x:v>250</x:v>
      </x:c>
      <x:c r="I4" s="0" t="s">
        <x:v>23</x:v>
      </x:c>
      <x:c r="K4" s="8">
        <x:v>250</x:v>
      </x:c>
      <x:c r="L4" s="0" t="s">
        <x:v>24</x:v>
      </x:c>
      <x:c r="M4" s="0" t="s">
        <x:v>25</x:v>
      </x:c>
      <x:c r="N4" s="0" t="s">
        <x:v>26</x:v>
      </x:c>
      <x:c r="P4" s="0" t="s">
        <x:v>27</x:v>
      </x:c>
    </x:row>
    <x:row r="5" spans="1:20">
      <x:c r="A5" s="0">
        <x:v>4</x:v>
      </x:c>
      <x:c r="B5" s="0" t="s">
        <x:v>100</x:v>
      </x:c>
      <x:c r="C5" s="0" t="s">
        <x:v>21</x:v>
      </x:c>
      <x:c r="D5" s="0" t="s">
        <x:v>34</x:v>
      </x:c>
      <x:c r="E5" s="0">
        <x:v>1</x:v>
      </x:c>
      <x:c r="F5" s="0">
        <x:v>0.2</x:v>
      </x:c>
      <x:c r="G5" s="8">
        <x:v>5000</x:v>
      </x:c>
      <x:c r="H5" s="8">
        <x:v>1000</x:v>
      </x:c>
      <x:c r="I5" s="0" t="s">
        <x:v>23</x:v>
      </x:c>
      <x:c r="K5" s="8">
        <x:v>1000</x:v>
      </x:c>
      <x:c r="L5" s="0" t="s">
        <x:v>24</x:v>
      </x:c>
      <x:c r="M5" s="0" t="s">
        <x:v>25</x:v>
      </x:c>
      <x:c r="N5" s="0" t="s">
        <x:v>26</x:v>
      </x:c>
      <x:c r="P5" s="0" t="s">
        <x:v>27</x:v>
      </x:c>
    </x:row>
    <x:row r="6" spans="1:20">
      <x:c r="A6" s="0">
        <x:v>5</x:v>
      </x:c>
      <x:c r="B6" s="0" t="s">
        <x:v>29</x:v>
      </x:c>
      <x:c r="C6" s="0" t="s">
        <x:v>21</x:v>
      </x:c>
      <x:c r="D6" s="0" t="s">
        <x:v>22</x:v>
      </x:c>
      <x:c r="E6" s="0">
        <x:v>1</x:v>
      </x:c>
      <x:c r="F6" s="0">
        <x:v>4</x:v>
      </x:c>
      <x:c r="G6" s="8">
        <x:v>231.13</x:v>
      </x:c>
      <x:c r="H6" s="8">
        <x:v>924.5</x:v>
      </x:c>
      <x:c r="I6" s="0" t="s">
        <x:v>23</x:v>
      </x:c>
      <x:c r="K6" s="8">
        <x:v>924.5</x:v>
      </x:c>
      <x:c r="L6" s="0" t="s">
        <x:v>24</x:v>
      </x:c>
      <x:c r="M6" s="0" t="s">
        <x:v>25</x:v>
      </x:c>
      <x:c r="N6" s="0" t="s">
        <x:v>26</x:v>
      </x:c>
      <x:c r="P6" s="0" t="s">
        <x:v>27</x:v>
      </x:c>
    </x:row>
    <x:row r="7" spans="1:20">
      <x:c r="A7" s="0">
        <x:v>6</x:v>
      </x:c>
      <x:c r="B7" s="0" t="s">
        <x:v>30</x:v>
      </x:c>
      <x:c r="C7" s="0" t="s">
        <x:v>21</x:v>
      </x:c>
      <x:c r="D7" s="0" t="s">
        <x:v>22</x:v>
      </x:c>
      <x:c r="E7" s="0">
        <x:v>1</x:v>
      </x:c>
      <x:c r="F7" s="0">
        <x:v>11</x:v>
      </x:c>
      <x:c r="G7" s="8">
        <x:v>322.5</x:v>
      </x:c>
      <x:c r="H7" s="8">
        <x:v>3547.5</x:v>
      </x:c>
      <x:c r="I7" s="0" t="s">
        <x:v>23</x:v>
      </x:c>
      <x:c r="K7" s="8">
        <x:v>3547.5</x:v>
      </x:c>
      <x:c r="L7" s="0" t="s">
        <x:v>24</x:v>
      </x:c>
      <x:c r="M7" s="0" t="s">
        <x:v>25</x:v>
      </x:c>
      <x:c r="N7" s="0" t="s">
        <x:v>26</x:v>
      </x:c>
      <x:c r="P7" s="0" t="s">
        <x:v>27</x:v>
      </x:c>
    </x:row>
    <x:row r="8" spans="1:20">
      <x:c r="A8" s="0">
        <x:v>7</x:v>
      </x:c>
      <x:c r="B8" s="0" t="s">
        <x:v>31</x:v>
      </x:c>
      <x:c r="C8" s="0" t="s">
        <x:v>21</x:v>
      </x:c>
      <x:c r="D8" s="0" t="s">
        <x:v>22</x:v>
      </x:c>
      <x:c r="E8" s="0">
        <x:v>1</x:v>
      </x:c>
      <x:c r="F8" s="0">
        <x:v>1</x:v>
      </x:c>
      <x:c r="G8" s="8">
        <x:v>100</x:v>
      </x:c>
      <x:c r="H8" s="8">
        <x:v>100</x:v>
      </x:c>
      <x:c r="I8" s="0" t="s">
        <x:v>23</x:v>
      </x:c>
      <x:c r="K8" s="8">
        <x:v>100</x:v>
      </x:c>
      <x:c r="L8" s="0" t="s">
        <x:v>24</x:v>
      </x:c>
      <x:c r="M8" s="0" t="s">
        <x:v>25</x:v>
      </x:c>
      <x:c r="N8" s="0" t="s">
        <x:v>26</x:v>
      </x:c>
      <x:c r="P8" s="0" t="s">
        <x:v>27</x:v>
      </x:c>
    </x:row>
    <x:row r="9" spans="1:20">
      <x:c r="A9" s="0">
        <x:v>8</x:v>
      </x:c>
      <x:c r="B9" s="0" t="s">
        <x:v>124</x:v>
      </x:c>
      <x:c r="C9" s="0" t="s">
        <x:v>21</x:v>
      </x:c>
      <x:c r="D9" s="0" t="s">
        <x:v>22</x:v>
      </x:c>
      <x:c r="E9" s="0">
        <x:v>1</x:v>
      </x:c>
      <x:c r="F9" s="0">
        <x:v>2</x:v>
      </x:c>
      <x:c r="G9" s="8">
        <x:v>50</x:v>
      </x:c>
      <x:c r="H9" s="8">
        <x:v>100</x:v>
      </x:c>
      <x:c r="I9" s="0" t="s">
        <x:v>23</x:v>
      </x:c>
      <x:c r="K9" s="8">
        <x:v>100</x:v>
      </x:c>
      <x:c r="L9" s="0" t="s">
        <x:v>24</x:v>
      </x:c>
      <x:c r="M9" s="0" t="s">
        <x:v>25</x:v>
      </x:c>
      <x:c r="N9" s="0" t="s">
        <x:v>26</x:v>
      </x:c>
      <x:c r="P9" s="0" t="s">
        <x:v>27</x:v>
      </x:c>
    </x:row>
    <x:row r="10" spans="1:20">
      <x:c r="A10" s="0">
        <x:v>9</x:v>
      </x:c>
      <x:c r="B10" s="0" t="s">
        <x:v>62</x:v>
      </x:c>
      <x:c r="C10" s="0" t="s">
        <x:v>21</x:v>
      </x:c>
      <x:c r="D10" s="0" t="s">
        <x:v>34</x:v>
      </x:c>
      <x:c r="E10" s="0">
        <x:v>1</x:v>
      </x:c>
      <x:c r="F10" s="0">
        <x:v>0.1</x:v>
      </x:c>
      <x:c r="G10" s="8">
        <x:v>3180</x:v>
      </x:c>
      <x:c r="H10" s="8">
        <x:v>318</x:v>
      </x:c>
      <x:c r="I10" s="0" t="s">
        <x:v>23</x:v>
      </x:c>
      <x:c r="K10" s="8">
        <x:v>318</x:v>
      </x:c>
      <x:c r="L10" s="0" t="s">
        <x:v>24</x:v>
      </x:c>
      <x:c r="M10" s="0" t="s">
        <x:v>25</x:v>
      </x:c>
      <x:c r="N10" s="0" t="s">
        <x:v>26</x:v>
      </x:c>
      <x:c r="P10" s="0" t="s">
        <x:v>27</x:v>
      </x:c>
    </x:row>
    <x:row r="11" spans="1:20">
      <x:c r="A11" s="0">
        <x:v>10</x:v>
      </x:c>
      <x:c r="B11" s="0" t="s">
        <x:v>77</x:v>
      </x:c>
      <x:c r="C11" s="0" t="s">
        <x:v>21</x:v>
      </x:c>
      <x:c r="D11" s="0" t="s">
        <x:v>34</x:v>
      </x:c>
      <x:c r="E11" s="0">
        <x:v>1</x:v>
      </x:c>
      <x:c r="F11" s="0">
        <x:v>0.1</x:v>
      </x:c>
      <x:c r="G11" s="8">
        <x:v>3880</x:v>
      </x:c>
      <x:c r="H11" s="8">
        <x:v>388</x:v>
      </x:c>
      <x:c r="I11" s="0" t="s">
        <x:v>23</x:v>
      </x:c>
      <x:c r="K11" s="8">
        <x:v>388</x:v>
      </x:c>
      <x:c r="L11" s="0" t="s">
        <x:v>24</x:v>
      </x:c>
      <x:c r="M11" s="0" t="s">
        <x:v>25</x:v>
      </x:c>
      <x:c r="N11" s="0" t="s">
        <x:v>26</x:v>
      </x:c>
      <x:c r="P11" s="0" t="s">
        <x:v>27</x:v>
      </x:c>
    </x:row>
    <x:row r="12" spans="1:20">
      <x:c r="A12" s="0">
        <x:v>11</x:v>
      </x:c>
      <x:c r="B12" s="0" t="s">
        <x:v>79</x:v>
      </x:c>
      <x:c r="C12" s="0" t="s">
        <x:v>21</x:v>
      </x:c>
      <x:c r="D12" s="0" t="s">
        <x:v>34</x:v>
      </x:c>
      <x:c r="E12" s="0">
        <x:v>1</x:v>
      </x:c>
      <x:c r="F12" s="0">
        <x:v>0.2</x:v>
      </x:c>
      <x:c r="G12" s="8">
        <x:v>2180</x:v>
      </x:c>
      <x:c r="H12" s="8">
        <x:v>436</x:v>
      </x:c>
      <x:c r="I12" s="0" t="s">
        <x:v>23</x:v>
      </x:c>
      <x:c r="K12" s="8">
        <x:v>436</x:v>
      </x:c>
      <x:c r="L12" s="0" t="s">
        <x:v>24</x:v>
      </x:c>
      <x:c r="M12" s="0" t="s">
        <x:v>25</x:v>
      </x:c>
      <x:c r="N12" s="0" t="s">
        <x:v>26</x:v>
      </x:c>
      <x:c r="P12" s="0" t="s">
        <x:v>27</x:v>
      </x:c>
    </x:row>
    <x:row r="13" spans="1:20">
      <x:c r="A13" s="0">
        <x:v>12</x:v>
      </x:c>
      <x:c r="B13" s="0" t="s">
        <x:v>81</x:v>
      </x:c>
      <x:c r="C13" s="0" t="s">
        <x:v>21</x:v>
      </x:c>
      <x:c r="D13" s="0" t="s">
        <x:v>34</x:v>
      </x:c>
      <x:c r="E13" s="0">
        <x:v>1</x:v>
      </x:c>
      <x:c r="F13" s="0">
        <x:v>0.1</x:v>
      </x:c>
      <x:c r="G13" s="8">
        <x:v>3880</x:v>
      </x:c>
      <x:c r="H13" s="8">
        <x:v>388</x:v>
      </x:c>
      <x:c r="I13" s="0" t="s">
        <x:v>23</x:v>
      </x:c>
      <x:c r="K13" s="8">
        <x:v>388</x:v>
      </x:c>
      <x:c r="L13" s="0" t="s">
        <x:v>24</x:v>
      </x:c>
      <x:c r="M13" s="0" t="s">
        <x:v>25</x:v>
      </x:c>
      <x:c r="N13" s="0" t="s">
        <x:v>26</x:v>
      </x:c>
      <x:c r="P13" s="0" t="s">
        <x:v>27</x:v>
      </x:c>
    </x:row>
    <x:row r="14" spans="1:20">
      <x:c r="A14" s="0">
        <x:v>13</x:v>
      </x:c>
      <x:c r="B14" s="0" t="s">
        <x:v>63</x:v>
      </x:c>
      <x:c r="C14" s="0" t="s">
        <x:v>21</x:v>
      </x:c>
      <x:c r="D14" s="0" t="s">
        <x:v>34</x:v>
      </x:c>
      <x:c r="E14" s="0">
        <x:v>1</x:v>
      </x:c>
      <x:c r="F14" s="0">
        <x:v>0.1</x:v>
      </x:c>
      <x:c r="G14" s="8">
        <x:v>6580</x:v>
      </x:c>
      <x:c r="H14" s="8">
        <x:v>658</x:v>
      </x:c>
      <x:c r="I14" s="0" t="s">
        <x:v>23</x:v>
      </x:c>
      <x:c r="K14" s="8">
        <x:v>658</x:v>
      </x:c>
      <x:c r="L14" s="0" t="s">
        <x:v>24</x:v>
      </x:c>
      <x:c r="M14" s="0" t="s">
        <x:v>25</x:v>
      </x:c>
      <x:c r="N14" s="0" t="s">
        <x:v>26</x:v>
      </x:c>
      <x:c r="P14" s="0" t="s">
        <x:v>27</x:v>
      </x:c>
    </x:row>
    <x:row r="15" spans="1:20">
      <x:c r="A15" s="0">
        <x:v>14</x:v>
      </x:c>
      <x:c r="B15" s="0" t="s">
        <x:v>82</x:v>
      </x:c>
      <x:c r="C15" s="0" t="s">
        <x:v>21</x:v>
      </x:c>
      <x:c r="D15" s="0" t="s">
        <x:v>34</x:v>
      </x:c>
      <x:c r="E15" s="0">
        <x:v>1</x:v>
      </x:c>
      <x:c r="F15" s="0">
        <x:v>0.1</x:v>
      </x:c>
      <x:c r="G15" s="8">
        <x:v>4980</x:v>
      </x:c>
      <x:c r="H15" s="8">
        <x:v>498</x:v>
      </x:c>
      <x:c r="I15" s="0" t="s">
        <x:v>23</x:v>
      </x:c>
      <x:c r="K15" s="8">
        <x:v>498</x:v>
      </x:c>
      <x:c r="L15" s="0" t="s">
        <x:v>24</x:v>
      </x:c>
      <x:c r="M15" s="0" t="s">
        <x:v>25</x:v>
      </x:c>
      <x:c r="N15" s="0" t="s">
        <x:v>26</x:v>
      </x:c>
      <x:c r="P15" s="0" t="s">
        <x:v>27</x:v>
      </x:c>
    </x:row>
    <x:row r="16" spans="1:20">
      <x:c r="A16" s="0">
        <x:v>15</x:v>
      </x:c>
      <x:c r="B16" s="0" t="s">
        <x:v>64</x:v>
      </x:c>
      <x:c r="C16" s="0" t="s">
        <x:v>21</x:v>
      </x:c>
      <x:c r="D16" s="0" t="s">
        <x:v>34</x:v>
      </x:c>
      <x:c r="E16" s="0">
        <x:v>1</x:v>
      </x:c>
      <x:c r="F16" s="0">
        <x:v>0.3</x:v>
      </x:c>
      <x:c r="G16" s="8">
        <x:v>3480</x:v>
      </x:c>
      <x:c r="H16" s="8">
        <x:v>1044</x:v>
      </x:c>
      <x:c r="I16" s="0" t="s">
        <x:v>23</x:v>
      </x:c>
      <x:c r="K16" s="8">
        <x:v>1044</x:v>
      </x:c>
      <x:c r="L16" s="0" t="s">
        <x:v>24</x:v>
      </x:c>
      <x:c r="M16" s="0" t="s">
        <x:v>25</x:v>
      </x:c>
      <x:c r="N16" s="0" t="s">
        <x:v>26</x:v>
      </x:c>
      <x:c r="P16" s="0" t="s">
        <x:v>27</x:v>
      </x:c>
    </x:row>
    <x:row r="17" spans="1:20">
      <x:c r="A17" s="0">
        <x:v>16</x:v>
      </x:c>
      <x:c r="B17" s="0" t="s">
        <x:v>114</x:v>
      </x:c>
      <x:c r="C17" s="0" t="s">
        <x:v>21</x:v>
      </x:c>
      <x:c r="D17" s="0" t="s">
        <x:v>34</x:v>
      </x:c>
      <x:c r="E17" s="0">
        <x:v>1</x:v>
      </x:c>
      <x:c r="F17" s="0">
        <x:v>0.596</x:v>
      </x:c>
      <x:c r="G17" s="8">
        <x:v>2320.59</x:v>
      </x:c>
      <x:c r="H17" s="8">
        <x:v>1383.07</x:v>
      </x:c>
      <x:c r="I17" s="0" t="s">
        <x:v>23</x:v>
      </x:c>
      <x:c r="K17" s="8">
        <x:v>1383.07</x:v>
      </x:c>
      <x:c r="L17" s="0" t="s">
        <x:v>24</x:v>
      </x:c>
      <x:c r="M17" s="0" t="s">
        <x:v>25</x:v>
      </x:c>
      <x:c r="N17" s="0" t="s">
        <x:v>26</x:v>
      </x:c>
      <x:c r="P17" s="0" t="s">
        <x:v>27</x:v>
      </x:c>
    </x:row>
    <x:row r="18" spans="1:20">
      <x:c r="A18" s="0">
        <x:v>17</x:v>
      </x:c>
      <x:c r="B18" s="0" t="s">
        <x:v>36</x:v>
      </x:c>
      <x:c r="C18" s="0" t="s">
        <x:v>21</x:v>
      </x:c>
      <x:c r="D18" s="0" t="s">
        <x:v>22</x:v>
      </x:c>
      <x:c r="E18" s="0">
        <x:v>1</x:v>
      </x:c>
      <x:c r="F18" s="0">
        <x:v>1</x:v>
      </x:c>
      <x:c r="G18" s="8">
        <x:v>300</x:v>
      </x:c>
      <x:c r="H18" s="8">
        <x:v>300</x:v>
      </x:c>
      <x:c r="I18" s="0" t="s">
        <x:v>23</x:v>
      </x:c>
      <x:c r="K18" s="8">
        <x:v>300</x:v>
      </x:c>
      <x:c r="L18" s="0" t="s">
        <x:v>24</x:v>
      </x:c>
      <x:c r="M18" s="0" t="s">
        <x:v>25</x:v>
      </x:c>
      <x:c r="N18" s="0" t="s">
        <x:v>26</x:v>
      </x:c>
      <x:c r="P18" s="0" t="s">
        <x:v>27</x:v>
      </x:c>
    </x:row>
    <x:row r="19" spans="1:20">
      <x:c r="A19" s="0">
        <x:v>18</x:v>
      </x:c>
      <x:c r="B19" s="0" t="s">
        <x:v>70</x:v>
      </x:c>
      <x:c r="C19" s="0" t="s">
        <x:v>21</x:v>
      </x:c>
      <x:c r="D19" s="0" t="s">
        <x:v>22</x:v>
      </x:c>
      <x:c r="E19" s="0">
        <x:v>1</x:v>
      </x:c>
      <x:c r="F19" s="0">
        <x:v>1</x:v>
      </x:c>
      <x:c r="G19" s="8">
        <x:v>212.1</x:v>
      </x:c>
      <x:c r="H19" s="8">
        <x:v>212.1</x:v>
      </x:c>
      <x:c r="I19" s="0" t="s">
        <x:v>23</x:v>
      </x:c>
      <x:c r="K19" s="8">
        <x:v>212.1</x:v>
      </x:c>
      <x:c r="L19" s="0" t="s">
        <x:v>24</x:v>
      </x:c>
      <x:c r="M19" s="0" t="s">
        <x:v>25</x:v>
      </x:c>
      <x:c r="N19" s="0" t="s">
        <x:v>26</x:v>
      </x:c>
      <x:c r="P19" s="0" t="s">
        <x:v>27</x:v>
      </x:c>
    </x:row>
    <x:row r="20" spans="1:20">
      <x:c r="A20" s="0">
        <x:v>19</x:v>
      </x:c>
      <x:c r="B20" s="0" t="s">
        <x:v>94</x:v>
      </x:c>
      <x:c r="C20" s="0" t="s">
        <x:v>21</x:v>
      </x:c>
      <x:c r="D20" s="0" t="s">
        <x:v>22</x:v>
      </x:c>
      <x:c r="E20" s="0">
        <x:v>1</x:v>
      </x:c>
      <x:c r="F20" s="0">
        <x:v>1</x:v>
      </x:c>
      <x:c r="G20" s="8">
        <x:v>85</x:v>
      </x:c>
      <x:c r="H20" s="8">
        <x:v>85</x:v>
      </x:c>
      <x:c r="I20" s="0" t="s">
        <x:v>23</x:v>
      </x:c>
      <x:c r="K20" s="8">
        <x:v>85</x:v>
      </x:c>
      <x:c r="L20" s="0" t="s">
        <x:v>24</x:v>
      </x:c>
      <x:c r="M20" s="0" t="s">
        <x:v>25</x:v>
      </x:c>
      <x:c r="N20" s="0" t="s">
        <x:v>26</x:v>
      </x:c>
      <x:c r="P20" s="0" t="s">
        <x:v>27</x:v>
      </x:c>
    </x:row>
    <x:row r="21" spans="1:20">
      <x:c r="A21" s="0">
        <x:v>20</x:v>
      </x:c>
      <x:c r="B21" s="0" t="s">
        <x:v>125</x:v>
      </x:c>
      <x:c r="C21" s="0" t="s">
        <x:v>21</x:v>
      </x:c>
      <x:c r="D21" s="0" t="s">
        <x:v>22</x:v>
      </x:c>
      <x:c r="E21" s="0">
        <x:v>1</x:v>
      </x:c>
      <x:c r="F21" s="0">
        <x:v>1</x:v>
      </x:c>
      <x:c r="G21" s="8">
        <x:v>50</x:v>
      </x:c>
      <x:c r="H21" s="8">
        <x:v>50</x:v>
      </x:c>
      <x:c r="I21" s="0" t="s">
        <x:v>23</x:v>
      </x:c>
      <x:c r="K21" s="8">
        <x:v>50</x:v>
      </x:c>
      <x:c r="L21" s="0" t="s">
        <x:v>24</x:v>
      </x:c>
      <x:c r="M21" s="0" t="s">
        <x:v>25</x:v>
      </x:c>
      <x:c r="N21" s="0" t="s">
        <x:v>26</x:v>
      </x:c>
      <x:c r="P21" s="0" t="s">
        <x:v>27</x:v>
      </x:c>
    </x:row>
    <x:row r="22" spans="1:20">
      <x:c r="A22" s="0">
        <x:v>21</x:v>
      </x:c>
      <x:c r="B22" s="0" t="s">
        <x:v>37</x:v>
      </x:c>
      <x:c r="C22" s="0" t="s">
        <x:v>21</x:v>
      </x:c>
      <x:c r="D22" s="0" t="s">
        <x:v>22</x:v>
      </x:c>
      <x:c r="E22" s="0">
        <x:v>1</x:v>
      </x:c>
      <x:c r="F22" s="0">
        <x:v>2</x:v>
      </x:c>
      <x:c r="G22" s="8">
        <x:v>323.75</x:v>
      </x:c>
      <x:c r="H22" s="8">
        <x:v>647.5</x:v>
      </x:c>
      <x:c r="I22" s="0" t="s">
        <x:v>23</x:v>
      </x:c>
      <x:c r="K22" s="8">
        <x:v>647.5</x:v>
      </x:c>
      <x:c r="L22" s="0" t="s">
        <x:v>24</x:v>
      </x:c>
      <x:c r="M22" s="0" t="s">
        <x:v>25</x:v>
      </x:c>
      <x:c r="N22" s="0" t="s">
        <x:v>26</x:v>
      </x:c>
      <x:c r="P22" s="0" t="s">
        <x:v>27</x:v>
      </x:c>
    </x:row>
    <x:row r="23" spans="1:20">
      <x:c r="A23" s="0">
        <x:v>22</x:v>
      </x:c>
      <x:c r="B23" s="0" t="s">
        <x:v>126</x:v>
      </x:c>
      <x:c r="C23" s="0" t="s">
        <x:v>21</x:v>
      </x:c>
      <x:c r="D23" s="0" t="s">
        <x:v>22</x:v>
      </x:c>
      <x:c r="E23" s="0">
        <x:v>1</x:v>
      </x:c>
      <x:c r="F23" s="0">
        <x:v>3</x:v>
      </x:c>
      <x:c r="G23" s="8">
        <x:v>162.33</x:v>
      </x:c>
      <x:c r="H23" s="8">
        <x:v>487</x:v>
      </x:c>
      <x:c r="I23" s="0" t="s">
        <x:v>23</x:v>
      </x:c>
      <x:c r="K23" s="8">
        <x:v>487</x:v>
      </x:c>
      <x:c r="L23" s="0" t="s">
        <x:v>24</x:v>
      </x:c>
      <x:c r="M23" s="0" t="s">
        <x:v>25</x:v>
      </x:c>
      <x:c r="N23" s="0" t="s">
        <x:v>26</x:v>
      </x:c>
      <x:c r="P23" s="0" t="s">
        <x:v>27</x:v>
      </x:c>
    </x:row>
    <x:row r="24" spans="1:20">
      <x:c r="A24" s="0">
        <x:v>23</x:v>
      </x:c>
      <x:c r="B24" s="0" t="s">
        <x:v>39</x:v>
      </x:c>
      <x:c r="C24" s="0" t="s">
        <x:v>21</x:v>
      </x:c>
      <x:c r="D24" s="0" t="s">
        <x:v>22</x:v>
      </x:c>
      <x:c r="E24" s="0">
        <x:v>1</x:v>
      </x:c>
      <x:c r="F24" s="0">
        <x:v>3</x:v>
      </x:c>
      <x:c r="G24" s="8">
        <x:v>237.5</x:v>
      </x:c>
      <x:c r="H24" s="8">
        <x:v>712.5</x:v>
      </x:c>
      <x:c r="I24" s="0" t="s">
        <x:v>23</x:v>
      </x:c>
      <x:c r="K24" s="8">
        <x:v>712.5</x:v>
      </x:c>
      <x:c r="L24" s="0" t="s">
        <x:v>24</x:v>
      </x:c>
      <x:c r="M24" s="0" t="s">
        <x:v>25</x:v>
      </x:c>
      <x:c r="N24" s="0" t="s">
        <x:v>26</x:v>
      </x:c>
      <x:c r="P24" s="0" t="s">
        <x:v>27</x:v>
      </x:c>
    </x:row>
    <x:row r="25" spans="1:20">
      <x:c r="A25" s="0">
        <x:v>24</x:v>
      </x:c>
      <x:c r="B25" s="0" t="s">
        <x:v>40</x:v>
      </x:c>
      <x:c r="C25" s="0" t="s">
        <x:v>21</x:v>
      </x:c>
      <x:c r="D25" s="0" t="s">
        <x:v>22</x:v>
      </x:c>
      <x:c r="E25" s="0">
        <x:v>1</x:v>
      </x:c>
      <x:c r="F25" s="0">
        <x:v>2</x:v>
      </x:c>
      <x:c r="G25" s="8">
        <x:v>400</x:v>
      </x:c>
      <x:c r="H25" s="8">
        <x:v>800</x:v>
      </x:c>
      <x:c r="I25" s="0" t="s">
        <x:v>23</x:v>
      </x:c>
      <x:c r="K25" s="8">
        <x:v>800</x:v>
      </x:c>
      <x:c r="L25" s="0" t="s">
        <x:v>24</x:v>
      </x:c>
      <x:c r="M25" s="0" t="s">
        <x:v>25</x:v>
      </x:c>
      <x:c r="N25" s="0" t="s">
        <x:v>26</x:v>
      </x:c>
      <x:c r="P25" s="0" t="s">
        <x:v>27</x:v>
      </x:c>
    </x:row>
    <x:row r="26" spans="1:20">
      <x:c r="A26" s="0">
        <x:v>25</x:v>
      </x:c>
      <x:c r="B26" s="0" t="s">
        <x:v>41</x:v>
      </x:c>
      <x:c r="C26" s="0" t="s">
        <x:v>21</x:v>
      </x:c>
      <x:c r="D26" s="0" t="s">
        <x:v>22</x:v>
      </x:c>
      <x:c r="E26" s="0">
        <x:v>1</x:v>
      </x:c>
      <x:c r="F26" s="0">
        <x:v>2</x:v>
      </x:c>
      <x:c r="G26" s="8">
        <x:v>300</x:v>
      </x:c>
      <x:c r="H26" s="8">
        <x:v>600</x:v>
      </x:c>
      <x:c r="I26" s="0" t="s">
        <x:v>23</x:v>
      </x:c>
      <x:c r="K26" s="8">
        <x:v>600</x:v>
      </x:c>
      <x:c r="L26" s="0" t="s">
        <x:v>24</x:v>
      </x:c>
      <x:c r="M26" s="0" t="s">
        <x:v>25</x:v>
      </x:c>
      <x:c r="N26" s="0" t="s">
        <x:v>26</x:v>
      </x:c>
      <x:c r="P26" s="0" t="s">
        <x:v>27</x:v>
      </x:c>
    </x:row>
    <x:row r="27" spans="1:20">
      <x:c r="A27" s="0">
        <x:v>26</x:v>
      </x:c>
      <x:c r="B27" s="0" t="s">
        <x:v>42</x:v>
      </x:c>
      <x:c r="C27" s="0" t="s">
        <x:v>21</x:v>
      </x:c>
      <x:c r="D27" s="0" t="s">
        <x:v>22</x:v>
      </x:c>
      <x:c r="E27" s="0">
        <x:v>1</x:v>
      </x:c>
      <x:c r="F27" s="0">
        <x:v>1</x:v>
      </x:c>
      <x:c r="G27" s="8">
        <x:v>220</x:v>
      </x:c>
      <x:c r="H27" s="8">
        <x:v>220</x:v>
      </x:c>
      <x:c r="I27" s="0" t="s">
        <x:v>23</x:v>
      </x:c>
      <x:c r="K27" s="8">
        <x:v>220</x:v>
      </x:c>
      <x:c r="L27" s="0" t="s">
        <x:v>24</x:v>
      </x:c>
      <x:c r="M27" s="0" t="s">
        <x:v>25</x:v>
      </x:c>
      <x:c r="N27" s="0" t="s">
        <x:v>26</x:v>
      </x:c>
      <x:c r="P27" s="0" t="s">
        <x:v>27</x:v>
      </x:c>
    </x:row>
    <x:row r="28" spans="1:20">
      <x:c r="A28" s="0">
        <x:v>27</x:v>
      </x:c>
      <x:c r="B28" s="0" t="s">
        <x:v>127</x:v>
      </x:c>
      <x:c r="C28" s="0" t="s">
        <x:v>21</x:v>
      </x:c>
      <x:c r="D28" s="0" t="s">
        <x:v>22</x:v>
      </x:c>
      <x:c r="E28" s="0">
        <x:v>1</x:v>
      </x:c>
      <x:c r="F28" s="0">
        <x:v>1</x:v>
      </x:c>
      <x:c r="G28" s="8">
        <x:v>220</x:v>
      </x:c>
      <x:c r="H28" s="8">
        <x:v>220</x:v>
      </x:c>
      <x:c r="I28" s="0" t="s">
        <x:v>23</x:v>
      </x:c>
      <x:c r="K28" s="8">
        <x:v>220</x:v>
      </x:c>
      <x:c r="L28" s="0" t="s">
        <x:v>24</x:v>
      </x:c>
      <x:c r="M28" s="0" t="s">
        <x:v>25</x:v>
      </x:c>
      <x:c r="N28" s="0" t="s">
        <x:v>26</x:v>
      </x:c>
      <x:c r="P28" s="0" t="s">
        <x:v>27</x:v>
      </x:c>
    </x:row>
    <x:row r="29" spans="1:20">
      <x:c r="A29" s="0">
        <x:v>28</x:v>
      </x:c>
      <x:c r="B29" s="0" t="s">
        <x:v>43</x:v>
      </x:c>
      <x:c r="C29" s="0" t="s">
        <x:v>21</x:v>
      </x:c>
      <x:c r="D29" s="0" t="s">
        <x:v>22</x:v>
      </x:c>
      <x:c r="E29" s="0">
        <x:v>1</x:v>
      </x:c>
      <x:c r="F29" s="0">
        <x:v>1</x:v>
      </x:c>
      <x:c r="G29" s="8">
        <x:v>220</x:v>
      </x:c>
      <x:c r="H29" s="8">
        <x:v>220</x:v>
      </x:c>
      <x:c r="I29" s="0" t="s">
        <x:v>23</x:v>
      </x:c>
      <x:c r="K29" s="8">
        <x:v>220</x:v>
      </x:c>
      <x:c r="L29" s="0" t="s">
        <x:v>24</x:v>
      </x:c>
      <x:c r="M29" s="0" t="s">
        <x:v>25</x:v>
      </x:c>
      <x:c r="N29" s="0" t="s">
        <x:v>26</x:v>
      </x:c>
      <x:c r="P29" s="0" t="s">
        <x:v>27</x:v>
      </x:c>
    </x:row>
    <x:row r="30" spans="1:20">
      <x:c r="A30" s="0">
        <x:v>29</x:v>
      </x:c>
      <x:c r="B30" s="0" t="s">
        <x:v>44</x:v>
      </x:c>
      <x:c r="C30" s="0" t="s">
        <x:v>21</x:v>
      </x:c>
      <x:c r="D30" s="0" t="s">
        <x:v>22</x:v>
      </x:c>
      <x:c r="E30" s="0">
        <x:v>1</x:v>
      </x:c>
      <x:c r="F30" s="0">
        <x:v>5</x:v>
      </x:c>
      <x:c r="G30" s="8">
        <x:v>83.04</x:v>
      </x:c>
      <x:c r="H30" s="8">
        <x:v>415.18</x:v>
      </x:c>
      <x:c r="I30" s="0" t="s">
        <x:v>23</x:v>
      </x:c>
      <x:c r="K30" s="8">
        <x:v>415.18</x:v>
      </x:c>
      <x:c r="L30" s="0" t="s">
        <x:v>24</x:v>
      </x:c>
      <x:c r="M30" s="0" t="s">
        <x:v>25</x:v>
      </x:c>
      <x:c r="N30" s="0" t="s">
        <x:v>26</x:v>
      </x:c>
      <x:c r="P30" s="0" t="s">
        <x:v>27</x:v>
      </x:c>
    </x:row>
    <x:row r="31" spans="1:20">
      <x:c r="A31" s="0">
        <x:v>30</x:v>
      </x:c>
      <x:c r="B31" s="0" t="s">
        <x:v>45</x:v>
      </x:c>
      <x:c r="C31" s="0" t="s">
        <x:v>21</x:v>
      </x:c>
      <x:c r="D31" s="0" t="s">
        <x:v>22</x:v>
      </x:c>
      <x:c r="E31" s="0">
        <x:v>1</x:v>
      </x:c>
      <x:c r="F31" s="0">
        <x:v>1</x:v>
      </x:c>
      <x:c r="G31" s="8">
        <x:v>110</x:v>
      </x:c>
      <x:c r="H31" s="8">
        <x:v>110</x:v>
      </x:c>
      <x:c r="I31" s="0" t="s">
        <x:v>23</x:v>
      </x:c>
      <x:c r="K31" s="8">
        <x:v>110</x:v>
      </x:c>
      <x:c r="L31" s="0" t="s">
        <x:v>24</x:v>
      </x:c>
      <x:c r="M31" s="0" t="s">
        <x:v>25</x:v>
      </x:c>
      <x:c r="N31" s="0" t="s">
        <x:v>26</x:v>
      </x:c>
      <x:c r="P31" s="0" t="s">
        <x:v>27</x:v>
      </x:c>
    </x:row>
    <x:row r="32" spans="1:20">
      <x:c r="A32" s="0">
        <x:v>31</x:v>
      </x:c>
      <x:c r="B32" s="0" t="s">
        <x:v>46</x:v>
      </x:c>
      <x:c r="C32" s="0" t="s">
        <x:v>21</x:v>
      </x:c>
      <x:c r="D32" s="0" t="s">
        <x:v>22</x:v>
      </x:c>
      <x:c r="E32" s="0">
        <x:v>1</x:v>
      </x:c>
      <x:c r="F32" s="0">
        <x:v>2</x:v>
      </x:c>
      <x:c r="G32" s="8">
        <x:v>135</x:v>
      </x:c>
      <x:c r="H32" s="8">
        <x:v>270</x:v>
      </x:c>
      <x:c r="I32" s="0" t="s">
        <x:v>23</x:v>
      </x:c>
      <x:c r="K32" s="8">
        <x:v>270</x:v>
      </x:c>
      <x:c r="L32" s="0" t="s">
        <x:v>24</x:v>
      </x:c>
      <x:c r="M32" s="0" t="s">
        <x:v>25</x:v>
      </x:c>
      <x:c r="N32" s="0" t="s">
        <x:v>26</x:v>
      </x:c>
      <x:c r="P32" s="0" t="s">
        <x:v>27</x:v>
      </x:c>
    </x:row>
    <x:row r="33" spans="1:20">
      <x:c r="A33" s="0">
        <x:v>32</x:v>
      </x:c>
      <x:c r="B33" s="0" t="s">
        <x:v>47</x:v>
      </x:c>
      <x:c r="C33" s="0" t="s">
        <x:v>21</x:v>
      </x:c>
      <x:c r="D33" s="0" t="s">
        <x:v>22</x:v>
      </x:c>
      <x:c r="E33" s="0">
        <x:v>1</x:v>
      </x:c>
      <x:c r="F33" s="0">
        <x:v>9</x:v>
      </x:c>
      <x:c r="G33" s="8">
        <x:v>251.08</x:v>
      </x:c>
      <x:c r="H33" s="8">
        <x:v>2259.73</x:v>
      </x:c>
      <x:c r="I33" s="0" t="s">
        <x:v>23</x:v>
      </x:c>
      <x:c r="K33" s="8">
        <x:v>2259.73</x:v>
      </x:c>
      <x:c r="L33" s="0" t="s">
        <x:v>24</x:v>
      </x:c>
      <x:c r="M33" s="0" t="s">
        <x:v>25</x:v>
      </x:c>
      <x:c r="N33" s="0" t="s">
        <x:v>26</x:v>
      </x:c>
      <x:c r="P33" s="0" t="s">
        <x:v>27</x:v>
      </x:c>
    </x:row>
    <x:row r="34" spans="1:20">
      <x:c r="A34" s="0">
        <x:v>33</x:v>
      </x:c>
      <x:c r="B34" s="0" t="s">
        <x:v>71</x:v>
      </x:c>
      <x:c r="C34" s="0" t="s">
        <x:v>21</x:v>
      </x:c>
      <x:c r="D34" s="0" t="s">
        <x:v>22</x:v>
      </x:c>
      <x:c r="E34" s="0">
        <x:v>1</x:v>
      </x:c>
      <x:c r="F34" s="0">
        <x:v>3</x:v>
      </x:c>
      <x:c r="G34" s="8">
        <x:v>150</x:v>
      </x:c>
      <x:c r="H34" s="8">
        <x:v>450</x:v>
      </x:c>
      <x:c r="I34" s="0" t="s">
        <x:v>23</x:v>
      </x:c>
      <x:c r="K34" s="8">
        <x:v>450</x:v>
      </x:c>
      <x:c r="L34" s="0" t="s">
        <x:v>24</x:v>
      </x:c>
      <x:c r="M34" s="0" t="s">
        <x:v>25</x:v>
      </x:c>
      <x:c r="N34" s="0" t="s">
        <x:v>26</x:v>
      </x:c>
      <x:c r="P34" s="0" t="s">
        <x:v>27</x:v>
      </x:c>
    </x:row>
    <x:row r="35" spans="1:20">
      <x:c r="A35" s="0">
        <x:v>34</x:v>
      </x:c>
      <x:c r="B35" s="0" t="s">
        <x:v>48</x:v>
      </x:c>
      <x:c r="C35" s="0" t="s">
        <x:v>21</x:v>
      </x:c>
      <x:c r="D35" s="0" t="s">
        <x:v>34</x:v>
      </x:c>
      <x:c r="E35" s="0">
        <x:v>1</x:v>
      </x:c>
      <x:c r="F35" s="0">
        <x:v>0.2</x:v>
      </x:c>
      <x:c r="G35" s="8">
        <x:v>3200</x:v>
      </x:c>
      <x:c r="H35" s="8">
        <x:v>640</x:v>
      </x:c>
      <x:c r="I35" s="0" t="s">
        <x:v>23</x:v>
      </x:c>
      <x:c r="K35" s="8">
        <x:v>640</x:v>
      </x:c>
      <x:c r="L35" s="0" t="s">
        <x:v>24</x:v>
      </x:c>
      <x:c r="M35" s="0" t="s">
        <x:v>25</x:v>
      </x:c>
      <x:c r="N35" s="0" t="s">
        <x:v>26</x:v>
      </x:c>
      <x:c r="P35" s="0" t="s">
        <x:v>27</x:v>
      </x:c>
    </x:row>
    <x:row r="36" spans="1:20">
      <x:c r="A36" s="0">
        <x:v>35</x:v>
      </x:c>
      <x:c r="B36" s="0" t="s">
        <x:v>50</x:v>
      </x:c>
      <x:c r="C36" s="0" t="s">
        <x:v>21</x:v>
      </x:c>
      <x:c r="D36" s="0" t="s">
        <x:v>22</x:v>
      </x:c>
      <x:c r="E36" s="0">
        <x:v>1</x:v>
      </x:c>
      <x:c r="F36" s="0">
        <x:v>3</x:v>
      </x:c>
      <x:c r="G36" s="8">
        <x:v>90</x:v>
      </x:c>
      <x:c r="H36" s="8">
        <x:v>270</x:v>
      </x:c>
      <x:c r="I36" s="0" t="s">
        <x:v>23</x:v>
      </x:c>
      <x:c r="K36" s="8">
        <x:v>270</x:v>
      </x:c>
      <x:c r="L36" s="0" t="s">
        <x:v>24</x:v>
      </x:c>
      <x:c r="M36" s="0" t="s">
        <x:v>25</x:v>
      </x:c>
      <x:c r="N36" s="0" t="s">
        <x:v>26</x:v>
      </x:c>
      <x:c r="P36" s="0" t="s">
        <x:v>27</x:v>
      </x:c>
    </x:row>
    <x:row r="37" spans="1:20">
      <x:c r="A37" s="0">
        <x:v>36</x:v>
      </x:c>
      <x:c r="B37" s="0" t="s">
        <x:v>51</x:v>
      </x:c>
      <x:c r="C37" s="0" t="s">
        <x:v>21</x:v>
      </x:c>
      <x:c r="D37" s="0" t="s">
        <x:v>22</x:v>
      </x:c>
      <x:c r="E37" s="0">
        <x:v>1</x:v>
      </x:c>
      <x:c r="F37" s="0">
        <x:v>5</x:v>
      </x:c>
      <x:c r="G37" s="8">
        <x:v>58.18</x:v>
      </x:c>
      <x:c r="H37" s="8">
        <x:v>290.9</x:v>
      </x:c>
      <x:c r="I37" s="0" t="s">
        <x:v>23</x:v>
      </x:c>
      <x:c r="K37" s="8">
        <x:v>290.9</x:v>
      </x:c>
      <x:c r="L37" s="0" t="s">
        <x:v>24</x:v>
      </x:c>
      <x:c r="M37" s="0" t="s">
        <x:v>25</x:v>
      </x:c>
      <x:c r="N37" s="0" t="s">
        <x:v>26</x:v>
      </x:c>
      <x:c r="P37" s="0" t="s">
        <x:v>27</x:v>
      </x:c>
    </x:row>
    <x:row r="38" spans="1:20">
      <x:c r="A38" s="0">
        <x:v>37</x:v>
      </x:c>
      <x:c r="B38" s="0" t="s">
        <x:v>52</x:v>
      </x:c>
      <x:c r="C38" s="0" t="s">
        <x:v>21</x:v>
      </x:c>
      <x:c r="D38" s="0" t="s">
        <x:v>22</x:v>
      </x:c>
      <x:c r="E38" s="0">
        <x:v>1</x:v>
      </x:c>
      <x:c r="F38" s="0">
        <x:v>3</x:v>
      </x:c>
      <x:c r="G38" s="8">
        <x:v>246.11</x:v>
      </x:c>
      <x:c r="H38" s="8">
        <x:v>738.32</x:v>
      </x:c>
      <x:c r="I38" s="0" t="s">
        <x:v>23</x:v>
      </x:c>
      <x:c r="K38" s="8">
        <x:v>738.32</x:v>
      </x:c>
      <x:c r="L38" s="0" t="s">
        <x:v>24</x:v>
      </x:c>
      <x:c r="M38" s="0" t="s">
        <x:v>25</x:v>
      </x:c>
      <x:c r="N38" s="0" t="s">
        <x:v>26</x:v>
      </x:c>
      <x:c r="P38" s="0" t="s">
        <x:v>27</x:v>
      </x:c>
    </x:row>
    <x:row r="39" spans="1:20">
      <x:c r="A39" s="0">
        <x:v>38</x:v>
      </x:c>
      <x:c r="B39" s="0" t="s">
        <x:v>53</x:v>
      </x:c>
      <x:c r="C39" s="0" t="s">
        <x:v>21</x:v>
      </x:c>
      <x:c r="D39" s="0" t="s">
        <x:v>22</x:v>
      </x:c>
      <x:c r="E39" s="0">
        <x:v>1</x:v>
      </x:c>
      <x:c r="F39" s="0">
        <x:v>3</x:v>
      </x:c>
      <x:c r="G39" s="8">
        <x:v>38</x:v>
      </x:c>
      <x:c r="H39" s="8">
        <x:v>114</x:v>
      </x:c>
      <x:c r="I39" s="0" t="s">
        <x:v>23</x:v>
      </x:c>
      <x:c r="K39" s="8">
        <x:v>114</x:v>
      </x:c>
      <x:c r="L39" s="0" t="s">
        <x:v>24</x:v>
      </x:c>
      <x:c r="M39" s="0" t="s">
        <x:v>25</x:v>
      </x:c>
      <x:c r="N39" s="0" t="s">
        <x:v>26</x:v>
      </x:c>
      <x:c r="P39" s="0" t="s">
        <x:v>27</x:v>
      </x:c>
    </x:row>
    <x:row r="40" spans="1:20">
      <x:c r="A40" s="0">
        <x:v>39</x:v>
      </x:c>
      <x:c r="B40" s="0" t="s">
        <x:v>128</x:v>
      </x:c>
      <x:c r="C40" s="0" t="s">
        <x:v>21</x:v>
      </x:c>
      <x:c r="D40" s="0" t="s">
        <x:v>34</x:v>
      </x:c>
      <x:c r="E40" s="0">
        <x:v>1</x:v>
      </x:c>
      <x:c r="F40" s="0">
        <x:v>0.05</x:v>
      </x:c>
      <x:c r="G40" s="8">
        <x:v>3000</x:v>
      </x:c>
      <x:c r="H40" s="8">
        <x:v>150</x:v>
      </x:c>
      <x:c r="I40" s="0" t="s">
        <x:v>23</x:v>
      </x:c>
      <x:c r="K40" s="8">
        <x:v>150</x:v>
      </x:c>
      <x:c r="L40" s="0" t="s">
        <x:v>24</x:v>
      </x:c>
      <x:c r="M40" s="0" t="s">
        <x:v>25</x:v>
      </x:c>
      <x:c r="N40" s="0" t="s">
        <x:v>26</x:v>
      </x:c>
      <x:c r="P40" s="0" t="s">
        <x:v>27</x:v>
      </x:c>
    </x:row>
    <x:row r="41" spans="1:20">
      <x:c r="A41" s="0">
        <x:v>40</x:v>
      </x:c>
      <x:c r="B41" s="0" t="s">
        <x:v>55</x:v>
      </x:c>
      <x:c r="C41" s="0" t="s">
        <x:v>21</x:v>
      </x:c>
      <x:c r="D41" s="0" t="s">
        <x:v>22</x:v>
      </x:c>
      <x:c r="E41" s="0">
        <x:v>1</x:v>
      </x:c>
      <x:c r="F41" s="0">
        <x:v>6</x:v>
      </x:c>
      <x:c r="G41" s="8">
        <x:v>321.96</x:v>
      </x:c>
      <x:c r="H41" s="8">
        <x:v>1931.77</x:v>
      </x:c>
      <x:c r="I41" s="0" t="s">
        <x:v>23</x:v>
      </x:c>
      <x:c r="K41" s="8">
        <x:v>1931.77</x:v>
      </x:c>
      <x:c r="L41" s="0" t="s">
        <x:v>24</x:v>
      </x:c>
      <x:c r="M41" s="0" t="s">
        <x:v>25</x:v>
      </x:c>
      <x:c r="N41" s="0" t="s">
        <x:v>26</x:v>
      </x:c>
      <x:c r="P41" s="0" t="s">
        <x:v>27</x:v>
      </x:c>
    </x:row>
    <x:row r="42" spans="1:20">
      <x:c r="A42" s="0">
        <x:v>41</x:v>
      </x:c>
      <x:c r="B42" s="0" t="s">
        <x:v>56</x:v>
      </x:c>
      <x:c r="C42" s="0" t="s">
        <x:v>21</x:v>
      </x:c>
      <x:c r="D42" s="0" t="s">
        <x:v>22</x:v>
      </x:c>
      <x:c r="E42" s="0">
        <x:v>1</x:v>
      </x:c>
      <x:c r="F42" s="0">
        <x:v>1</x:v>
      </x:c>
      <x:c r="G42" s="8">
        <x:v>350</x:v>
      </x:c>
      <x:c r="H42" s="8">
        <x:v>350</x:v>
      </x:c>
      <x:c r="I42" s="0" t="s">
        <x:v>23</x:v>
      </x:c>
      <x:c r="K42" s="8">
        <x:v>350</x:v>
      </x:c>
      <x:c r="L42" s="0" t="s">
        <x:v>24</x:v>
      </x:c>
      <x:c r="M42" s="0" t="s">
        <x:v>25</x:v>
      </x:c>
      <x:c r="N42" s="0" t="s">
        <x:v>26</x:v>
      </x:c>
      <x:c r="P42" s="0" t="s">
        <x:v>27</x:v>
      </x:c>
    </x:row>
    <x:row r="43" spans="1:20">
      <x:c r="A43" s="0">
        <x:v>42</x:v>
      </x:c>
      <x:c r="B43" s="0" t="s">
        <x:v>57</x:v>
      </x:c>
      <x:c r="C43" s="0" t="s">
        <x:v>21</x:v>
      </x:c>
      <x:c r="D43" s="0" t="s">
        <x:v>22</x:v>
      </x:c>
      <x:c r="E43" s="0">
        <x:v>1</x:v>
      </x:c>
      <x:c r="F43" s="0">
        <x:v>4</x:v>
      </x:c>
      <x:c r="G43" s="8">
        <x:v>140.5</x:v>
      </x:c>
      <x:c r="H43" s="8">
        <x:v>562</x:v>
      </x:c>
      <x:c r="I43" s="0" t="s">
        <x:v>23</x:v>
      </x:c>
      <x:c r="K43" s="8">
        <x:v>562</x:v>
      </x:c>
      <x:c r="L43" s="0" t="s">
        <x:v>24</x:v>
      </x:c>
      <x:c r="M43" s="0" t="s">
        <x:v>25</x:v>
      </x:c>
      <x:c r="N43" s="0" t="s">
        <x:v>26</x:v>
      </x:c>
      <x:c r="P43" s="0" t="s">
        <x:v>27</x:v>
      </x:c>
    </x:row>
    <x:row r="44" spans="1:20">
      <x:c r="A44" s="0">
        <x:v>43</x:v>
      </x:c>
      <x:c r="B44" s="0" t="s">
        <x:v>129</x:v>
      </x:c>
      <x:c r="C44" s="0" t="s">
        <x:v>21</x:v>
      </x:c>
      <x:c r="D44" s="0" t="s">
        <x:v>22</x:v>
      </x:c>
      <x:c r="E44" s="0">
        <x:v>1</x:v>
      </x:c>
      <x:c r="F44" s="0">
        <x:v>1</x:v>
      </x:c>
      <x:c r="G44" s="8">
        <x:v>800</x:v>
      </x:c>
      <x:c r="H44" s="8">
        <x:v>800</x:v>
      </x:c>
      <x:c r="I44" s="0" t="s">
        <x:v>23</x:v>
      </x:c>
      <x:c r="K44" s="8">
        <x:v>800</x:v>
      </x:c>
      <x:c r="L44" s="0" t="s">
        <x:v>24</x:v>
      </x:c>
      <x:c r="M44" s="0" t="s">
        <x:v>25</x:v>
      </x:c>
      <x:c r="N44" s="0" t="s">
        <x:v>26</x:v>
      </x:c>
      <x:c r="P44" s="0" t="s">
        <x:v>27</x:v>
      </x:c>
    </x:row>
    <x:row r="45" spans="1:20">
      <x:c r="A45" s="0">
        <x:v>44</x:v>
      </x:c>
      <x:c r="B45" s="0" t="s">
        <x:v>60</x:v>
      </x:c>
      <x:c r="C45" s="0" t="s">
        <x:v>21</x:v>
      </x:c>
      <x:c r="D45" s="0" t="s">
        <x:v>22</x:v>
      </x:c>
      <x:c r="E45" s="0">
        <x:v>1</x:v>
      </x:c>
      <x:c r="F45" s="0">
        <x:v>4</x:v>
      </x:c>
      <x:c r="G45" s="8">
        <x:v>150</x:v>
      </x:c>
      <x:c r="H45" s="8">
        <x:v>600</x:v>
      </x:c>
      <x:c r="I45" s="0" t="s">
        <x:v>23</x:v>
      </x:c>
      <x:c r="K45" s="8">
        <x:v>600</x:v>
      </x:c>
      <x:c r="L45" s="0" t="s">
        <x:v>24</x:v>
      </x:c>
      <x:c r="M45" s="0" t="s">
        <x:v>25</x:v>
      </x:c>
      <x:c r="N45" s="0" t="s">
        <x:v>26</x:v>
      </x:c>
      <x:c r="P45" s="0" t="s">
        <x:v>27</x:v>
      </x:c>
    </x:row>
    <x:row r="46" spans="1:20">
      <x:c r="A46" s="0">
        <x:v>45</x:v>
      </x:c>
      <x:c r="B46" s="0" t="s">
        <x:v>130</x:v>
      </x:c>
      <x:c r="C46" s="0" t="s">
        <x:v>21</x:v>
      </x:c>
      <x:c r="D46" s="0" t="s">
        <x:v>34</x:v>
      </x:c>
      <x:c r="E46" s="0">
        <x:v>1</x:v>
      </x:c>
      <x:c r="F46" s="0">
        <x:v>0.1</x:v>
      </x:c>
      <x:c r="G46" s="8">
        <x:v>3070</x:v>
      </x:c>
      <x:c r="H46" s="8">
        <x:v>307</x:v>
      </x:c>
      <x:c r="I46" s="0" t="s">
        <x:v>23</x:v>
      </x:c>
      <x:c r="K46" s="8">
        <x:v>307</x:v>
      </x:c>
      <x:c r="L46" s="0" t="s">
        <x:v>24</x:v>
      </x:c>
      <x:c r="M46" s="0" t="s">
        <x:v>25</x:v>
      </x:c>
      <x:c r="N46" s="0" t="s">
        <x:v>26</x:v>
      </x:c>
      <x:c r="P46" s="0" t="s">
        <x:v>27</x:v>
      </x:c>
    </x:row>
    <x:row r="47" spans="1:20">
      <x:c r="H47" s="18">
        <x:f>SUM(H2:H46)</x:f>
      </x:c>
    </x:row>
    <x:row r="49" spans="1:20">
      <x:c r="B49" s="19" t="s">
        <x:v>163</x:v>
      </x:c>
      <x:c r="C49" s="20"/>
      <x:c r="D49" s="20"/>
      <x:c r="E49" s="20"/>
      <x:c r="F49" s="20"/>
      <x:c r="G49" s="20"/>
      <x:c r="H49" s="21">
        <x:f>SUM(H50:H52)</x:f>
      </x:c>
      <x:c r="I49" s="22" t="s">
        <x:v>164</x:v>
      </x:c>
    </x:row>
    <x:row r="50" spans="1:20">
      <x:c r="B50" s="21" t="s">
        <x:v>165</x:v>
      </x:c>
      <x:c r="C50" s="21"/>
      <x:c r="D50" s="21"/>
      <x:c r="E50" s="21"/>
      <x:c r="F50" s="20">
        <x:f>F2+F3+F4+F6+F7+F18+F19+F22+F24+F25+F26+F33+F34+F38+F43+F45</x:f>
      </x:c>
      <x:c r="G50" s="20">
        <x:f>G2+G3+G4+G6+G7+G18+G19+G22+G24+G25+G26+G33+G34+G38+G43+G45</x:f>
      </x:c>
      <x:c r="H50" s="20">
        <x:f>H2+H3+H4+H6+H7+H18+H19+H22+H24+H25+H26+H33+H34+H38+H43+H45</x:f>
      </x:c>
      <x:c r="I50" s="15"/>
    </x:row>
    <x:row r="51" spans="1:20">
      <x:c r="B51" s="21" t="s">
        <x:v>166</x:v>
      </x:c>
      <x:c r="C51" s="21"/>
      <x:c r="D51" s="21"/>
      <x:c r="E51" s="21"/>
      <x:c r="F51" s="20">
        <x:f>F20+F21</x:f>
      </x:c>
      <x:c r="G51" s="20">
        <x:f>G20+G21</x:f>
      </x:c>
      <x:c r="H51" s="20">
        <x:f>H20+H21</x:f>
      </x:c>
      <x:c r="I51" s="15"/>
    </x:row>
    <x:row r="52" spans="1:20">
      <x:c r="B52" s="21" t="s">
        <x:v>167</x:v>
      </x:c>
      <x:c r="C52" s="21"/>
      <x:c r="D52" s="21"/>
      <x:c r="E52" s="21"/>
      <x:c r="F52" s="20">
        <x:f>F8+F9+F37+F39</x:f>
      </x:c>
      <x:c r="G52" s="20">
        <x:f>G8+G9+G37+G39</x:f>
      </x:c>
      <x:c r="H52" s="20">
        <x:f>H8+H9+H37+H39</x:f>
      </x:c>
      <x:c r="I52" s="15"/>
    </x:row>
    <x:row r="53" spans="1:20">
      <x:c r="B53" s="19" t="s">
        <x:v>168</x:v>
      </x:c>
      <x:c r="C53" s="20"/>
      <x:c r="D53" s="20"/>
      <x:c r="E53" s="20"/>
      <x:c r="F53" s="20"/>
      <x:c r="G53" s="20"/>
      <x:c r="H53" s="21">
        <x:f>SUM(H54:H60)</x:f>
      </x:c>
      <x:c r="I53" s="22" t="s">
        <x:v>169</x:v>
      </x:c>
    </x:row>
    <x:row r="54" spans="1:20">
      <x:c r="B54" s="21" t="s">
        <x:v>170</x:v>
      </x:c>
      <x:c r="C54" s="21"/>
      <x:c r="D54" s="21"/>
      <x:c r="E54" s="21"/>
      <x:c r="F54" s="20">
        <x:f>F10+F11+F12+F13+F14+F15+F16+F17</x:f>
      </x:c>
      <x:c r="G54" s="20">
        <x:f>G10+G11+G12+G13+G14+G15+G16+G17</x:f>
      </x:c>
      <x:c r="H54" s="20">
        <x:f>H10+H11+H12+H13+H14+H15+H16+H17</x:f>
      </x:c>
      <x:c r="I54" s="15"/>
    </x:row>
    <x:row r="55" spans="1:20">
      <x:c r="B55" s="21" t="s">
        <x:v>171</x:v>
      </x:c>
      <x:c r="C55" s="21"/>
      <x:c r="D55" s="21"/>
      <x:c r="E55" s="21"/>
      <x:c r="F55" s="20"/>
      <x:c r="G55" s="20"/>
      <x:c r="H55" s="20"/>
      <x:c r="I55" s="15"/>
    </x:row>
    <x:row r="56" spans="1:20">
      <x:c r="B56" s="21" t="s">
        <x:v>172</x:v>
      </x:c>
      <x:c r="C56" s="21"/>
      <x:c r="D56" s="21"/>
      <x:c r="E56" s="21"/>
      <x:c r="F56" s="20"/>
      <x:c r="G56" s="20"/>
      <x:c r="H56" s="20"/>
      <x:c r="I56" s="15"/>
    </x:row>
    <x:row r="57" spans="1:20">
      <x:c r="B57" s="21" t="s">
        <x:v>173</x:v>
      </x:c>
      <x:c r="C57" s="21"/>
      <x:c r="D57" s="21"/>
      <x:c r="E57" s="21"/>
      <x:c r="F57" s="20">
        <x:f>F5+F35+F40+F46</x:f>
      </x:c>
      <x:c r="G57" s="20">
        <x:f>G5+G35+G40+G46</x:f>
      </x:c>
      <x:c r="H57" s="20">
        <x:f>H5+H35+H40+H46</x:f>
      </x:c>
      <x:c r="I57" s="15"/>
    </x:row>
    <x:row r="58" spans="1:20">
      <x:c r="B58" s="21" t="s">
        <x:v>174</x:v>
      </x:c>
      <x:c r="C58" s="21"/>
      <x:c r="D58" s="21"/>
      <x:c r="E58" s="21"/>
      <x:c r="F58" s="20">
        <x:f>F44</x:f>
      </x:c>
      <x:c r="G58" s="20">
        <x:f>G44</x:f>
      </x:c>
      <x:c r="H58" s="20">
        <x:f>H44</x:f>
      </x:c>
      <x:c r="I58" s="15"/>
    </x:row>
    <x:row r="59" spans="1:20">
      <x:c r="B59" s="21" t="s">
        <x:v>70</x:v>
      </x:c>
      <x:c r="C59" s="21"/>
      <x:c r="D59" s="21"/>
      <x:c r="E59" s="21"/>
      <x:c r="F59" s="20"/>
      <x:c r="G59" s="20"/>
      <x:c r="H59" s="20"/>
      <x:c r="I59" s="15"/>
    </x:row>
    <x:row r="60" spans="1:20">
      <x:c r="B60" s="21" t="s">
        <x:v>175</x:v>
      </x:c>
      <x:c r="C60" s="21"/>
      <x:c r="D60" s="21"/>
      <x:c r="E60" s="21"/>
      <x:c r="F60" s="20"/>
      <x:c r="G60" s="20"/>
      <x:c r="H60" s="20"/>
      <x:c r="I60" s="15"/>
    </x:row>
    <x:row r="61" spans="1:20">
      <x:c r="B61" s="19" t="s">
        <x:v>176</x:v>
      </x:c>
      <x:c r="C61" s="20"/>
      <x:c r="D61" s="20"/>
      <x:c r="E61" s="20"/>
      <x:c r="F61" s="20"/>
      <x:c r="G61" s="20"/>
      <x:c r="H61" s="21">
        <x:f>SUM(H62:H67)</x:f>
      </x:c>
      <x:c r="I61" s="22" t="s">
        <x:v>177</x:v>
      </x:c>
    </x:row>
    <x:row r="62" spans="1:20">
      <x:c r="B62" s="21" t="s">
        <x:v>178</x:v>
      </x:c>
      <x:c r="C62" s="21"/>
      <x:c r="D62" s="21"/>
      <x:c r="E62" s="21"/>
      <x:c r="F62" s="20"/>
      <x:c r="G62" s="20"/>
      <x:c r="H62" s="20"/>
      <x:c r="I62" s="15"/>
    </x:row>
    <x:row r="63" spans="1:20">
      <x:c r="B63" s="21" t="s">
        <x:v>179</x:v>
      </x:c>
      <x:c r="C63" s="21"/>
      <x:c r="D63" s="21"/>
      <x:c r="E63" s="21"/>
      <x:c r="F63" s="20">
        <x:f>F41</x:f>
      </x:c>
      <x:c r="G63" s="20">
        <x:f>G41</x:f>
      </x:c>
      <x:c r="H63" s="20">
        <x:f>H41</x:f>
      </x:c>
      <x:c r="I63" s="15"/>
    </x:row>
    <x:row r="64" spans="1:20">
      <x:c r="B64" s="21" t="s">
        <x:v>54</x:v>
      </x:c>
      <x:c r="C64" s="21"/>
      <x:c r="D64" s="21"/>
      <x:c r="E64" s="21"/>
      <x:c r="F64" s="20"/>
      <x:c r="G64" s="20"/>
      <x:c r="H64" s="20"/>
      <x:c r="I64" s="15"/>
    </x:row>
    <x:row r="65" spans="1:20">
      <x:c r="B65" s="21" t="s">
        <x:v>180</x:v>
      </x:c>
      <x:c r="C65" s="21"/>
      <x:c r="D65" s="21"/>
      <x:c r="E65" s="21"/>
      <x:c r="F65" s="20">
        <x:f>F23+F27+F28+F29+F42</x:f>
      </x:c>
      <x:c r="G65" s="20">
        <x:f>G23+G27+G28+G29+G42</x:f>
      </x:c>
      <x:c r="H65" s="20">
        <x:f>H23+H27+H28+H29+H42</x:f>
      </x:c>
      <x:c r="I65" s="15"/>
    </x:row>
    <x:row r="66" spans="1:20">
      <x:c r="B66" s="21" t="s">
        <x:v>181</x:v>
      </x:c>
      <x:c r="C66" s="21"/>
      <x:c r="D66" s="21"/>
      <x:c r="E66" s="21"/>
      <x:c r="F66" s="20">
        <x:f>F31+F32+F36</x:f>
      </x:c>
      <x:c r="G66" s="20">
        <x:f>G31+G32+G36</x:f>
      </x:c>
      <x:c r="H66" s="20">
        <x:f>H31+H32+H36</x:f>
      </x:c>
      <x:c r="I66" s="15"/>
    </x:row>
    <x:row r="67" spans="1:20">
      <x:c r="B67" s="21" t="s">
        <x:v>182</x:v>
      </x:c>
      <x:c r="C67" s="21"/>
      <x:c r="D67" s="21"/>
      <x:c r="E67" s="21"/>
      <x:c r="F67" s="20">
        <x:f>F30</x:f>
      </x:c>
      <x:c r="G67" s="20">
        <x:f>G30</x:f>
      </x:c>
      <x:c r="H67" s="20">
        <x:f>H30</x:f>
      </x:c>
      <x:c r="I67" s="15"/>
    </x:row>
    <x:row r="68" spans="1:20">
      <x:c r="B68" s="19" t="s">
        <x:v>183</x:v>
      </x:c>
      <x:c r="C68" s="20"/>
      <x:c r="D68" s="20"/>
      <x:c r="E68" s="20"/>
      <x:c r="F68" s="20"/>
      <x:c r="G68" s="20"/>
      <x:c r="H68" s="21">
        <x:f>SUM(H69:H70)</x:f>
      </x:c>
      <x:c r="I68" s="22"/>
    </x:row>
    <x:row r="69" spans="1:20">
      <x:c r="B69" s="21" t="s">
        <x:v>184</x:v>
      </x:c>
      <x:c r="C69" s="21"/>
      <x:c r="D69" s="21"/>
      <x:c r="E69" s="21"/>
      <x:c r="F69" s="20"/>
      <x:c r="G69" s="20"/>
      <x:c r="H69" s="20"/>
      <x:c r="I69" s="15"/>
    </x:row>
    <x:row r="70" spans="1:20">
      <x:c r="B70" s="21" t="s">
        <x:v>185</x:v>
      </x:c>
      <x:c r="C70" s="21"/>
      <x:c r="D70" s="21"/>
      <x:c r="E70" s="21"/>
      <x:c r="F70" s="20"/>
      <x:c r="G70" s="20"/>
      <x:c r="H70" s="20"/>
      <x:c r="I70" s="15"/>
    </x:row>
    <x:row r="71" spans="1:20">
      <x:c r="B71" s="22"/>
      <x:c r="C71" s="22"/>
      <x:c r="D71" s="22"/>
      <x:c r="E71" s="22"/>
      <x:c r="F71" s="15"/>
      <x:c r="G71" s="15"/>
      <x:c r="H71" s="22">
        <x:f>H49+H53+H61+H68</x:f>
      </x:c>
      <x:c r="I71" s="15"/>
    </x:row>
    <x:row r="72" spans="1:20">
      <x:c r="H72" s="17">
        <x:f>H71 - H47</x:f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DEEABEA-0CB4-6D46-819D-8AE444D72E79}" mc:Ignorable="x14ac xr xr2 xr3">
  <x:sheetPr>
    <x:outlinePr summaryBelow="1" summaryRight="1"/>
  </x:sheetPr>
  <x:dimension ref="A1:T40"/>
  <x:sheetViews>
    <x:sheetView topLeftCell="A38" zoomScale="118" zoomScaleNormal="118" workbookViewId="0">
      <x:selection activeCell="A41" sqref="A41 A41:I68"/>
    </x:sheetView>
  </x:sheetViews>
  <x:sheetFormatPr defaultColWidth="11.210625" defaultRowHeight="15.75"/>
  <x:cols>
    <x:col min="1" max="1" width="11.210625" style="0" customWidth="1"/>
    <x:col min="2" max="2" width="35" style="0" customWidth="1"/>
    <x:col min="3" max="3" width="2.125" style="0" customWidth="1"/>
    <x:col min="4" max="4" width="2.5" style="0" customWidth="1"/>
    <x:col min="5" max="5" width="2.125" style="0" customWidth="1"/>
  </x:cols>
  <x:sheetData>
    <x:row r="1" spans="1:2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</x:row>
    <x:row r="2" spans="1:20">
      <x:c r="A2" s="0">
        <x:v>1</x:v>
      </x:c>
      <x:c r="B2" s="0" t="s">
        <x:v>131</x:v>
      </x:c>
      <x:c r="C2" s="0" t="s">
        <x:v>21</x:v>
      </x:c>
      <x:c r="D2" s="0" t="s">
        <x:v>22</x:v>
      </x:c>
      <x:c r="E2" s="0">
        <x:v>1</x:v>
      </x:c>
      <x:c r="F2" s="0">
        <x:v>1</x:v>
      </x:c>
      <x:c r="G2" s="8">
        <x:v>200</x:v>
      </x:c>
      <x:c r="H2" s="8">
        <x:v>200</x:v>
      </x:c>
      <x:c r="I2" s="0" t="s">
        <x:v>23</x:v>
      </x:c>
      <x:c r="K2" s="8">
        <x:v>200</x:v>
      </x:c>
      <x:c r="L2" s="0" t="s">
        <x:v>24</x:v>
      </x:c>
      <x:c r="M2" s="0" t="s">
        <x:v>25</x:v>
      </x:c>
      <x:c r="N2" s="0" t="s">
        <x:v>26</x:v>
      </x:c>
      <x:c r="P2" s="0" t="s">
        <x:v>27</x:v>
      </x:c>
    </x:row>
    <x:row r="3" spans="1:20">
      <x:c r="A3" s="0">
        <x:v>2</x:v>
      </x:c>
      <x:c r="B3" s="0" t="s">
        <x:v>91</x:v>
      </x:c>
      <x:c r="C3" s="0" t="s">
        <x:v>21</x:v>
      </x:c>
      <x:c r="D3" s="0" t="s">
        <x:v>22</x:v>
      </x:c>
      <x:c r="E3" s="0">
        <x:v>1</x:v>
      </x:c>
      <x:c r="F3" s="0">
        <x:v>5</x:v>
      </x:c>
      <x:c r="G3" s="8">
        <x:v>332.4</x:v>
      </x:c>
      <x:c r="H3" s="8">
        <x:v>1662</x:v>
      </x:c>
      <x:c r="I3" s="0" t="s">
        <x:v>23</x:v>
      </x:c>
      <x:c r="K3" s="8">
        <x:v>1662</x:v>
      </x:c>
      <x:c r="L3" s="0" t="s">
        <x:v>24</x:v>
      </x:c>
      <x:c r="M3" s="0" t="s">
        <x:v>25</x:v>
      </x:c>
      <x:c r="N3" s="0" t="s">
        <x:v>26</x:v>
      </x:c>
      <x:c r="P3" s="0" t="s">
        <x:v>27</x:v>
      </x:c>
    </x:row>
    <x:row r="4" spans="1:20">
      <x:c r="A4" s="0">
        <x:v>3</x:v>
      </x:c>
      <x:c r="B4" s="0" t="s">
        <x:v>61</x:v>
      </x:c>
      <x:c r="C4" s="0" t="s">
        <x:v>21</x:v>
      </x:c>
      <x:c r="D4" s="0" t="s">
        <x:v>22</x:v>
      </x:c>
      <x:c r="E4" s="0">
        <x:v>1</x:v>
      </x:c>
      <x:c r="F4" s="0">
        <x:v>2</x:v>
      </x:c>
      <x:c r="G4" s="8">
        <x:v>250</x:v>
      </x:c>
      <x:c r="H4" s="8">
        <x:v>500</x:v>
      </x:c>
      <x:c r="I4" s="0" t="s">
        <x:v>23</x:v>
      </x:c>
      <x:c r="K4" s="8">
        <x:v>500</x:v>
      </x:c>
      <x:c r="L4" s="0" t="s">
        <x:v>24</x:v>
      </x:c>
      <x:c r="M4" s="0" t="s">
        <x:v>25</x:v>
      </x:c>
      <x:c r="N4" s="0" t="s">
        <x:v>26</x:v>
      </x:c>
      <x:c r="P4" s="0" t="s">
        <x:v>27</x:v>
      </x:c>
    </x:row>
    <x:row r="5" spans="1:20">
      <x:c r="A5" s="0">
        <x:v>4</x:v>
      </x:c>
      <x:c r="B5" s="0" t="s">
        <x:v>20</x:v>
      </x:c>
      <x:c r="C5" s="0" t="s">
        <x:v>21</x:v>
      </x:c>
      <x:c r="D5" s="0" t="s">
        <x:v>22</x:v>
      </x:c>
      <x:c r="E5" s="0">
        <x:v>1</x:v>
      </x:c>
      <x:c r="F5" s="0">
        <x:v>3</x:v>
      </x:c>
      <x:c r="G5" s="8">
        <x:v>150</x:v>
      </x:c>
      <x:c r="H5" s="8">
        <x:v>450</x:v>
      </x:c>
      <x:c r="I5" s="0" t="s">
        <x:v>23</x:v>
      </x:c>
      <x:c r="K5" s="8">
        <x:v>450</x:v>
      </x:c>
      <x:c r="L5" s="0" t="s">
        <x:v>24</x:v>
      </x:c>
      <x:c r="M5" s="0" t="s">
        <x:v>25</x:v>
      </x:c>
      <x:c r="N5" s="0" t="s">
        <x:v>26</x:v>
      </x:c>
      <x:c r="P5" s="0" t="s">
        <x:v>27</x:v>
      </x:c>
    </x:row>
    <x:row r="6" spans="1:20">
      <x:c r="A6" s="0">
        <x:v>5</x:v>
      </x:c>
      <x:c r="B6" s="0" t="s">
        <x:v>132</x:v>
      </x:c>
      <x:c r="C6" s="0" t="s">
        <x:v>21</x:v>
      </x:c>
      <x:c r="D6" s="0" t="s">
        <x:v>34</x:v>
      </x:c>
      <x:c r="E6" s="0">
        <x:v>1</x:v>
      </x:c>
      <x:c r="F6" s="0">
        <x:v>0.1</x:v>
      </x:c>
      <x:c r="G6" s="8">
        <x:v>3210</x:v>
      </x:c>
      <x:c r="H6" s="8">
        <x:v>321</x:v>
      </x:c>
      <x:c r="I6" s="0" t="s">
        <x:v>23</x:v>
      </x:c>
      <x:c r="K6" s="8">
        <x:v>321</x:v>
      </x:c>
      <x:c r="L6" s="0" t="s">
        <x:v>24</x:v>
      </x:c>
      <x:c r="M6" s="0" t="s">
        <x:v>25</x:v>
      </x:c>
      <x:c r="N6" s="0" t="s">
        <x:v>26</x:v>
      </x:c>
      <x:c r="P6" s="0" t="s">
        <x:v>27</x:v>
      </x:c>
    </x:row>
    <x:row r="7" spans="1:20">
      <x:c r="A7" s="0">
        <x:v>6</x:v>
      </x:c>
      <x:c r="B7" s="0" t="s">
        <x:v>28</x:v>
      </x:c>
      <x:c r="C7" s="0" t="s">
        <x:v>21</x:v>
      </x:c>
      <x:c r="D7" s="0" t="s">
        <x:v>22</x:v>
      </x:c>
      <x:c r="E7" s="0">
        <x:v>1</x:v>
      </x:c>
      <x:c r="F7" s="0">
        <x:v>1</x:v>
      </x:c>
      <x:c r="G7" s="8">
        <x:v>250</x:v>
      </x:c>
      <x:c r="H7" s="8">
        <x:v>250</x:v>
      </x:c>
      <x:c r="I7" s="0" t="s">
        <x:v>23</x:v>
      </x:c>
      <x:c r="K7" s="8">
        <x:v>250</x:v>
      </x:c>
      <x:c r="L7" s="0" t="s">
        <x:v>24</x:v>
      </x:c>
      <x:c r="M7" s="0" t="s">
        <x:v>25</x:v>
      </x:c>
      <x:c r="N7" s="0" t="s">
        <x:v>26</x:v>
      </x:c>
      <x:c r="P7" s="0" t="s">
        <x:v>27</x:v>
      </x:c>
    </x:row>
    <x:row r="8" spans="1:20">
      <x:c r="A8" s="0">
        <x:v>7</x:v>
      </x:c>
      <x:c r="B8" s="0" t="s">
        <x:v>74</x:v>
      </x:c>
      <x:c r="C8" s="0" t="s">
        <x:v>21</x:v>
      </x:c>
      <x:c r="D8" s="0" t="s">
        <x:v>22</x:v>
      </x:c>
      <x:c r="E8" s="0">
        <x:v>1</x:v>
      </x:c>
      <x:c r="F8" s="0">
        <x:v>1</x:v>
      </x:c>
      <x:c r="G8" s="8">
        <x:v>250</x:v>
      </x:c>
      <x:c r="H8" s="8">
        <x:v>250</x:v>
      </x:c>
      <x:c r="I8" s="0" t="s">
        <x:v>23</x:v>
      </x:c>
      <x:c r="K8" s="8">
        <x:v>250</x:v>
      </x:c>
      <x:c r="L8" s="0" t="s">
        <x:v>24</x:v>
      </x:c>
      <x:c r="M8" s="0" t="s">
        <x:v>25</x:v>
      </x:c>
      <x:c r="N8" s="0" t="s">
        <x:v>26</x:v>
      </x:c>
      <x:c r="P8" s="0" t="s">
        <x:v>27</x:v>
      </x:c>
    </x:row>
    <x:row r="9" spans="1:20">
      <x:c r="A9" s="0">
        <x:v>8</x:v>
      </x:c>
      <x:c r="B9" s="0" t="s">
        <x:v>29</x:v>
      </x:c>
      <x:c r="C9" s="0" t="s">
        <x:v>21</x:v>
      </x:c>
      <x:c r="D9" s="0" t="s">
        <x:v>22</x:v>
      </x:c>
      <x:c r="E9" s="0">
        <x:v>1</x:v>
      </x:c>
      <x:c r="F9" s="0">
        <x:v>5</x:v>
      </x:c>
      <x:c r="G9" s="8">
        <x:v>235</x:v>
      </x:c>
      <x:c r="H9" s="8">
        <x:v>1175</x:v>
      </x:c>
      <x:c r="I9" s="0" t="s">
        <x:v>23</x:v>
      </x:c>
      <x:c r="K9" s="8">
        <x:v>1175</x:v>
      </x:c>
      <x:c r="L9" s="0" t="s">
        <x:v>24</x:v>
      </x:c>
      <x:c r="M9" s="0" t="s">
        <x:v>25</x:v>
      </x:c>
      <x:c r="N9" s="0" t="s">
        <x:v>26</x:v>
      </x:c>
      <x:c r="P9" s="0" t="s">
        <x:v>27</x:v>
      </x:c>
    </x:row>
    <x:row r="10" spans="1:20">
      <x:c r="A10" s="0">
        <x:v>9</x:v>
      </x:c>
      <x:c r="B10" s="0" t="s">
        <x:v>30</x:v>
      </x:c>
      <x:c r="C10" s="0" t="s">
        <x:v>21</x:v>
      </x:c>
      <x:c r="D10" s="0" t="s">
        <x:v>22</x:v>
      </x:c>
      <x:c r="E10" s="0">
        <x:v>1</x:v>
      </x:c>
      <x:c r="F10" s="0">
        <x:v>4</x:v>
      </x:c>
      <x:c r="G10" s="8">
        <x:v>321.75</x:v>
      </x:c>
      <x:c r="H10" s="8">
        <x:v>1287</x:v>
      </x:c>
      <x:c r="I10" s="0" t="s">
        <x:v>23</x:v>
      </x:c>
      <x:c r="K10" s="8">
        <x:v>1287</x:v>
      </x:c>
      <x:c r="L10" s="0" t="s">
        <x:v>24</x:v>
      </x:c>
      <x:c r="M10" s="0" t="s">
        <x:v>25</x:v>
      </x:c>
      <x:c r="N10" s="0" t="s">
        <x:v>26</x:v>
      </x:c>
      <x:c r="P10" s="0" t="s">
        <x:v>27</x:v>
      </x:c>
    </x:row>
    <x:row r="11" spans="1:20">
      <x:c r="A11" s="0">
        <x:v>10</x:v>
      </x:c>
      <x:c r="B11" s="0" t="s">
        <x:v>31</x:v>
      </x:c>
      <x:c r="C11" s="0" t="s">
        <x:v>21</x:v>
      </x:c>
      <x:c r="D11" s="0" t="s">
        <x:v>22</x:v>
      </x:c>
      <x:c r="E11" s="0">
        <x:v>1</x:v>
      </x:c>
      <x:c r="F11" s="0">
        <x:v>1</x:v>
      </x:c>
      <x:c r="G11" s="8">
        <x:v>90</x:v>
      </x:c>
      <x:c r="H11" s="8">
        <x:v>90</x:v>
      </x:c>
      <x:c r="I11" s="0" t="s">
        <x:v>23</x:v>
      </x:c>
      <x:c r="K11" s="8">
        <x:v>90</x:v>
      </x:c>
      <x:c r="L11" s="0" t="s">
        <x:v>24</x:v>
      </x:c>
      <x:c r="M11" s="0" t="s">
        <x:v>25</x:v>
      </x:c>
      <x:c r="N11" s="0" t="s">
        <x:v>26</x:v>
      </x:c>
      <x:c r="P11" s="0" t="s">
        <x:v>27</x:v>
      </x:c>
    </x:row>
    <x:row r="12" spans="1:20">
      <x:c r="A12" s="0">
        <x:v>11</x:v>
      </x:c>
      <x:c r="B12" s="0" t="s">
        <x:v>133</x:v>
      </x:c>
      <x:c r="C12" s="0" t="s">
        <x:v>21</x:v>
      </x:c>
      <x:c r="D12" s="0" t="s">
        <x:v>22</x:v>
      </x:c>
      <x:c r="E12" s="0">
        <x:v>1</x:v>
      </x:c>
      <x:c r="F12" s="0">
        <x:v>1</x:v>
      </x:c>
      <x:c r="G12" s="8">
        <x:v>640</x:v>
      </x:c>
      <x:c r="H12" s="8">
        <x:v>640</x:v>
      </x:c>
      <x:c r="I12" s="0" t="s">
        <x:v>23</x:v>
      </x:c>
      <x:c r="K12" s="8">
        <x:v>640</x:v>
      </x:c>
      <x:c r="L12" s="0" t="s">
        <x:v>24</x:v>
      </x:c>
      <x:c r="M12" s="0" t="s">
        <x:v>25</x:v>
      </x:c>
      <x:c r="N12" s="0" t="s">
        <x:v>26</x:v>
      </x:c>
      <x:c r="P12" s="0" t="s">
        <x:v>27</x:v>
      </x:c>
    </x:row>
    <x:row r="13" spans="1:20">
      <x:c r="A13" s="0">
        <x:v>12</x:v>
      </x:c>
      <x:c r="B13" s="0" t="s">
        <x:v>32</x:v>
      </x:c>
      <x:c r="C13" s="0" t="s">
        <x:v>21</x:v>
      </x:c>
      <x:c r="D13" s="0" t="s">
        <x:v>22</x:v>
      </x:c>
      <x:c r="E13" s="0">
        <x:v>1</x:v>
      </x:c>
      <x:c r="F13" s="0">
        <x:v>3</x:v>
      </x:c>
      <x:c r="G13" s="8">
        <x:v>80</x:v>
      </x:c>
      <x:c r="H13" s="8">
        <x:v>240</x:v>
      </x:c>
      <x:c r="I13" s="0" t="s">
        <x:v>23</x:v>
      </x:c>
      <x:c r="K13" s="8">
        <x:v>240</x:v>
      </x:c>
      <x:c r="L13" s="0" t="s">
        <x:v>24</x:v>
      </x:c>
      <x:c r="M13" s="0" t="s">
        <x:v>25</x:v>
      </x:c>
      <x:c r="N13" s="0" t="s">
        <x:v>26</x:v>
      </x:c>
      <x:c r="P13" s="0" t="s">
        <x:v>27</x:v>
      </x:c>
    </x:row>
    <x:row r="14" spans="1:20">
      <x:c r="A14" s="0">
        <x:v>13</x:v>
      </x:c>
      <x:c r="B14" s="0" t="s">
        <x:v>134</x:v>
      </x:c>
      <x:c r="C14" s="0" t="s">
        <x:v>21</x:v>
      </x:c>
      <x:c r="D14" s="0" t="s">
        <x:v>34</x:v>
      </x:c>
      <x:c r="E14" s="0">
        <x:v>1</x:v>
      </x:c>
      <x:c r="F14" s="0">
        <x:v>0.1</x:v>
      </x:c>
      <x:c r="G14" s="8">
        <x:v>3480</x:v>
      </x:c>
      <x:c r="H14" s="8">
        <x:v>348</x:v>
      </x:c>
      <x:c r="I14" s="0" t="s">
        <x:v>23</x:v>
      </x:c>
      <x:c r="K14" s="8">
        <x:v>348</x:v>
      </x:c>
      <x:c r="L14" s="0" t="s">
        <x:v>24</x:v>
      </x:c>
      <x:c r="M14" s="0" t="s">
        <x:v>25</x:v>
      </x:c>
      <x:c r="N14" s="0" t="s">
        <x:v>26</x:v>
      </x:c>
      <x:c r="P14" s="0" t="s">
        <x:v>27</x:v>
      </x:c>
    </x:row>
    <x:row r="15" spans="1:20">
      <x:c r="A15" s="0">
        <x:v>14</x:v>
      </x:c>
      <x:c r="B15" s="0" t="s">
        <x:v>80</x:v>
      </x:c>
      <x:c r="C15" s="0" t="s">
        <x:v>21</x:v>
      </x:c>
      <x:c r="D15" s="0" t="s">
        <x:v>34</x:v>
      </x:c>
      <x:c r="E15" s="0">
        <x:v>1</x:v>
      </x:c>
      <x:c r="F15" s="0">
        <x:v>0.1</x:v>
      </x:c>
      <x:c r="G15" s="8">
        <x:v>3380</x:v>
      </x:c>
      <x:c r="H15" s="8">
        <x:v>338</x:v>
      </x:c>
      <x:c r="I15" s="0" t="s">
        <x:v>23</x:v>
      </x:c>
      <x:c r="K15" s="8">
        <x:v>338</x:v>
      </x:c>
      <x:c r="L15" s="0" t="s">
        <x:v>24</x:v>
      </x:c>
      <x:c r="M15" s="0" t="s">
        <x:v>25</x:v>
      </x:c>
      <x:c r="N15" s="0" t="s">
        <x:v>26</x:v>
      </x:c>
      <x:c r="P15" s="0" t="s">
        <x:v>27</x:v>
      </x:c>
    </x:row>
    <x:row r="16" spans="1:20">
      <x:c r="A16" s="0">
        <x:v>15</x:v>
      </x:c>
      <x:c r="B16" s="0" t="s">
        <x:v>92</x:v>
      </x:c>
      <x:c r="C16" s="0" t="s">
        <x:v>21</x:v>
      </x:c>
      <x:c r="D16" s="0" t="s">
        <x:v>34</x:v>
      </x:c>
      <x:c r="E16" s="0">
        <x:v>1</x:v>
      </x:c>
      <x:c r="F16" s="0">
        <x:v>0.232</x:v>
      </x:c>
      <x:c r="G16" s="8">
        <x:v>3176.72</x:v>
      </x:c>
      <x:c r="H16" s="8">
        <x:v>737</x:v>
      </x:c>
      <x:c r="I16" s="0" t="s">
        <x:v>23</x:v>
      </x:c>
      <x:c r="K16" s="8">
        <x:v>737</x:v>
      </x:c>
      <x:c r="L16" s="0" t="s">
        <x:v>24</x:v>
      </x:c>
      <x:c r="M16" s="0" t="s">
        <x:v>25</x:v>
      </x:c>
      <x:c r="N16" s="0" t="s">
        <x:v>26</x:v>
      </x:c>
      <x:c r="P16" s="0" t="s">
        <x:v>27</x:v>
      </x:c>
    </x:row>
    <x:row r="17" spans="1:20">
      <x:c r="A17" s="0">
        <x:v>16</x:v>
      </x:c>
      <x:c r="B17" s="0" t="s">
        <x:v>93</x:v>
      </x:c>
      <x:c r="C17" s="0" t="s">
        <x:v>21</x:v>
      </x:c>
      <x:c r="D17" s="0" t="s">
        <x:v>34</x:v>
      </x:c>
      <x:c r="E17" s="0">
        <x:v>1</x:v>
      </x:c>
      <x:c r="F17" s="0">
        <x:v>0.1</x:v>
      </x:c>
      <x:c r="G17" s="8">
        <x:v>3480</x:v>
      </x:c>
      <x:c r="H17" s="8">
        <x:v>348</x:v>
      </x:c>
      <x:c r="I17" s="0" t="s">
        <x:v>23</x:v>
      </x:c>
      <x:c r="K17" s="8">
        <x:v>348</x:v>
      </x:c>
      <x:c r="L17" s="0" t="s">
        <x:v>24</x:v>
      </x:c>
      <x:c r="M17" s="0" t="s">
        <x:v>25</x:v>
      </x:c>
      <x:c r="N17" s="0" t="s">
        <x:v>26</x:v>
      </x:c>
      <x:c r="P17" s="0" t="s">
        <x:v>27</x:v>
      </x:c>
    </x:row>
    <x:row r="18" spans="1:20">
      <x:c r="A18" s="0">
        <x:v>17</x:v>
      </x:c>
      <x:c r="B18" s="0" t="s">
        <x:v>66</x:v>
      </x:c>
      <x:c r="C18" s="0" t="s">
        <x:v>21</x:v>
      </x:c>
      <x:c r="D18" s="0" t="s">
        <x:v>34</x:v>
      </x:c>
      <x:c r="E18" s="0">
        <x:v>1</x:v>
      </x:c>
      <x:c r="F18" s="0">
        <x:v>0.1</x:v>
      </x:c>
      <x:c r="G18" s="8">
        <x:v>4680</x:v>
      </x:c>
      <x:c r="H18" s="8">
        <x:v>468</x:v>
      </x:c>
      <x:c r="I18" s="0" t="s">
        <x:v>23</x:v>
      </x:c>
      <x:c r="K18" s="8">
        <x:v>468</x:v>
      </x:c>
      <x:c r="L18" s="0" t="s">
        <x:v>24</x:v>
      </x:c>
      <x:c r="M18" s="0" t="s">
        <x:v>25</x:v>
      </x:c>
      <x:c r="N18" s="0" t="s">
        <x:v>26</x:v>
      </x:c>
      <x:c r="P18" s="0" t="s">
        <x:v>27</x:v>
      </x:c>
    </x:row>
    <x:row r="19" spans="1:20">
      <x:c r="A19" s="0">
        <x:v>18</x:v>
      </x:c>
      <x:c r="B19" s="0" t="s">
        <x:v>67</x:v>
      </x:c>
      <x:c r="C19" s="0" t="s">
        <x:v>21</x:v>
      </x:c>
      <x:c r="D19" s="0" t="s">
        <x:v>34</x:v>
      </x:c>
      <x:c r="E19" s="0">
        <x:v>1</x:v>
      </x:c>
      <x:c r="F19" s="0">
        <x:v>0.1</x:v>
      </x:c>
      <x:c r="G19" s="8">
        <x:v>3180</x:v>
      </x:c>
      <x:c r="H19" s="8">
        <x:v>318</x:v>
      </x:c>
      <x:c r="I19" s="0" t="s">
        <x:v>23</x:v>
      </x:c>
      <x:c r="K19" s="8">
        <x:v>318</x:v>
      </x:c>
      <x:c r="L19" s="0" t="s">
        <x:v>24</x:v>
      </x:c>
      <x:c r="M19" s="0" t="s">
        <x:v>25</x:v>
      </x:c>
      <x:c r="N19" s="0" t="s">
        <x:v>26</x:v>
      </x:c>
      <x:c r="P19" s="0" t="s">
        <x:v>27</x:v>
      </x:c>
    </x:row>
    <x:row r="20" spans="1:20">
      <x:c r="A20" s="0">
        <x:v>19</x:v>
      </x:c>
      <x:c r="B20" s="0" t="s">
        <x:v>33</x:v>
      </x:c>
      <x:c r="C20" s="0" t="s">
        <x:v>21</x:v>
      </x:c>
      <x:c r="D20" s="0" t="s">
        <x:v>34</x:v>
      </x:c>
      <x:c r="E20" s="0">
        <x:v>1</x:v>
      </x:c>
      <x:c r="F20" s="0">
        <x:v>0.25</x:v>
      </x:c>
      <x:c r="G20" s="8">
        <x:v>3580</x:v>
      </x:c>
      <x:c r="H20" s="8">
        <x:v>895</x:v>
      </x:c>
      <x:c r="I20" s="0" t="s">
        <x:v>23</x:v>
      </x:c>
      <x:c r="K20" s="8">
        <x:v>895</x:v>
      </x:c>
      <x:c r="L20" s="0" t="s">
        <x:v>24</x:v>
      </x:c>
      <x:c r="M20" s="0" t="s">
        <x:v>25</x:v>
      </x:c>
      <x:c r="N20" s="0" t="s">
        <x:v>26</x:v>
      </x:c>
      <x:c r="P20" s="0" t="s">
        <x:v>27</x:v>
      </x:c>
    </x:row>
    <x:row r="21" spans="1:20">
      <x:c r="A21" s="0">
        <x:v>20</x:v>
      </x:c>
      <x:c r="B21" s="0" t="s">
        <x:v>35</x:v>
      </x:c>
      <x:c r="C21" s="0" t="s">
        <x:v>21</x:v>
      </x:c>
      <x:c r="D21" s="0" t="s">
        <x:v>34</x:v>
      </x:c>
      <x:c r="E21" s="0">
        <x:v>1</x:v>
      </x:c>
      <x:c r="F21" s="0">
        <x:v>0.25</x:v>
      </x:c>
      <x:c r="G21" s="8">
        <x:v>3380</x:v>
      </x:c>
      <x:c r="H21" s="8">
        <x:v>845</x:v>
      </x:c>
      <x:c r="I21" s="0" t="s">
        <x:v>23</x:v>
      </x:c>
      <x:c r="K21" s="8">
        <x:v>845</x:v>
      </x:c>
      <x:c r="L21" s="0" t="s">
        <x:v>24</x:v>
      </x:c>
      <x:c r="M21" s="0" t="s">
        <x:v>25</x:v>
      </x:c>
      <x:c r="N21" s="0" t="s">
        <x:v>26</x:v>
      </x:c>
      <x:c r="P21" s="0" t="s">
        <x:v>27</x:v>
      </x:c>
    </x:row>
    <x:row r="22" spans="1:20">
      <x:c r="A22" s="0">
        <x:v>21</x:v>
      </x:c>
      <x:c r="B22" s="0" t="s">
        <x:v>70</x:v>
      </x:c>
      <x:c r="C22" s="0" t="s">
        <x:v>21</x:v>
      </x:c>
      <x:c r="D22" s="0" t="s">
        <x:v>22</x:v>
      </x:c>
      <x:c r="E22" s="0">
        <x:v>1</x:v>
      </x:c>
      <x:c r="F22" s="0">
        <x:v>3</x:v>
      </x:c>
      <x:c r="G22" s="8">
        <x:v>237.37</x:v>
      </x:c>
      <x:c r="H22" s="8">
        <x:v>712.1</x:v>
      </x:c>
      <x:c r="I22" s="0" t="s">
        <x:v>23</x:v>
      </x:c>
      <x:c r="K22" s="8">
        <x:v>712.1</x:v>
      </x:c>
      <x:c r="L22" s="0" t="s">
        <x:v>24</x:v>
      </x:c>
      <x:c r="M22" s="0" t="s">
        <x:v>25</x:v>
      </x:c>
      <x:c r="N22" s="0" t="s">
        <x:v>26</x:v>
      </x:c>
      <x:c r="P22" s="0" t="s">
        <x:v>27</x:v>
      </x:c>
    </x:row>
    <x:row r="23" spans="1:20">
      <x:c r="A23" s="0">
        <x:v>22</x:v>
      </x:c>
      <x:c r="B23" s="0" t="s">
        <x:v>39</x:v>
      </x:c>
      <x:c r="C23" s="0" t="s">
        <x:v>21</x:v>
      </x:c>
      <x:c r="D23" s="0" t="s">
        <x:v>22</x:v>
      </x:c>
      <x:c r="E23" s="0">
        <x:v>1</x:v>
      </x:c>
      <x:c r="F23" s="0">
        <x:v>2</x:v>
      </x:c>
      <x:c r="G23" s="8">
        <x:v>250</x:v>
      </x:c>
      <x:c r="H23" s="8">
        <x:v>500</x:v>
      </x:c>
      <x:c r="I23" s="0" t="s">
        <x:v>23</x:v>
      </x:c>
      <x:c r="K23" s="8">
        <x:v>500</x:v>
      </x:c>
      <x:c r="L23" s="0" t="s">
        <x:v>24</x:v>
      </x:c>
      <x:c r="M23" s="0" t="s">
        <x:v>25</x:v>
      </x:c>
      <x:c r="N23" s="0" t="s">
        <x:v>26</x:v>
      </x:c>
      <x:c r="P23" s="0" t="s">
        <x:v>27</x:v>
      </x:c>
    </x:row>
    <x:row r="24" spans="1:20">
      <x:c r="A24" s="0">
        <x:v>23</x:v>
      </x:c>
      <x:c r="B24" s="0" t="s">
        <x:v>41</x:v>
      </x:c>
      <x:c r="C24" s="0" t="s">
        <x:v>21</x:v>
      </x:c>
      <x:c r="D24" s="0" t="s">
        <x:v>22</x:v>
      </x:c>
      <x:c r="E24" s="0">
        <x:v>1</x:v>
      </x:c>
      <x:c r="F24" s="0">
        <x:v>2</x:v>
      </x:c>
      <x:c r="G24" s="8">
        <x:v>300</x:v>
      </x:c>
      <x:c r="H24" s="8">
        <x:v>600</x:v>
      </x:c>
      <x:c r="I24" s="0" t="s">
        <x:v>23</x:v>
      </x:c>
      <x:c r="K24" s="8">
        <x:v>600</x:v>
      </x:c>
      <x:c r="L24" s="0" t="s">
        <x:v>24</x:v>
      </x:c>
      <x:c r="M24" s="0" t="s">
        <x:v>25</x:v>
      </x:c>
      <x:c r="N24" s="0" t="s">
        <x:v>26</x:v>
      </x:c>
      <x:c r="P24" s="0" t="s">
        <x:v>27</x:v>
      </x:c>
    </x:row>
    <x:row r="25" spans="1:20">
      <x:c r="A25" s="0">
        <x:v>24</x:v>
      </x:c>
      <x:c r="B25" s="0" t="s">
        <x:v>44</x:v>
      </x:c>
      <x:c r="C25" s="0" t="s">
        <x:v>21</x:v>
      </x:c>
      <x:c r="D25" s="0" t="s">
        <x:v>22</x:v>
      </x:c>
      <x:c r="E25" s="0">
        <x:v>1</x:v>
      </x:c>
      <x:c r="F25" s="0">
        <x:v>2</x:v>
      </x:c>
      <x:c r="G25" s="8">
        <x:v>85</x:v>
      </x:c>
      <x:c r="H25" s="8">
        <x:v>170</x:v>
      </x:c>
      <x:c r="I25" s="0" t="s">
        <x:v>23</x:v>
      </x:c>
      <x:c r="K25" s="8">
        <x:v>170</x:v>
      </x:c>
      <x:c r="L25" s="0" t="s">
        <x:v>24</x:v>
      </x:c>
      <x:c r="M25" s="0" t="s">
        <x:v>25</x:v>
      </x:c>
      <x:c r="N25" s="0" t="s">
        <x:v>26</x:v>
      </x:c>
      <x:c r="P25" s="0" t="s">
        <x:v>27</x:v>
      </x:c>
    </x:row>
    <x:row r="26" spans="1:20">
      <x:c r="A26" s="0">
        <x:v>25</x:v>
      </x:c>
      <x:c r="B26" s="0" t="s">
        <x:v>45</x:v>
      </x:c>
      <x:c r="C26" s="0" t="s">
        <x:v>21</x:v>
      </x:c>
      <x:c r="D26" s="0" t="s">
        <x:v>22</x:v>
      </x:c>
      <x:c r="E26" s="0">
        <x:v>1</x:v>
      </x:c>
      <x:c r="F26" s="0">
        <x:v>3</x:v>
      </x:c>
      <x:c r="G26" s="8">
        <x:v>91.67</x:v>
      </x:c>
      <x:c r="H26" s="8">
        <x:v>275</x:v>
      </x:c>
      <x:c r="I26" s="0" t="s">
        <x:v>23</x:v>
      </x:c>
      <x:c r="K26" s="8">
        <x:v>275</x:v>
      </x:c>
      <x:c r="L26" s="0" t="s">
        <x:v>24</x:v>
      </x:c>
      <x:c r="M26" s="0" t="s">
        <x:v>25</x:v>
      </x:c>
      <x:c r="N26" s="0" t="s">
        <x:v>26</x:v>
      </x:c>
      <x:c r="P26" s="0" t="s">
        <x:v>27</x:v>
      </x:c>
    </x:row>
    <x:row r="27" spans="1:20">
      <x:c r="A27" s="0">
        <x:v>26</x:v>
      </x:c>
      <x:c r="B27" s="0" t="s">
        <x:v>46</x:v>
      </x:c>
      <x:c r="C27" s="0" t="s">
        <x:v>21</x:v>
      </x:c>
      <x:c r="D27" s="0" t="s">
        <x:v>22</x:v>
      </x:c>
      <x:c r="E27" s="0">
        <x:v>1</x:v>
      </x:c>
      <x:c r="F27" s="0">
        <x:v>2</x:v>
      </x:c>
      <x:c r="G27" s="8">
        <x:v>121.5</x:v>
      </x:c>
      <x:c r="H27" s="8">
        <x:v>243</x:v>
      </x:c>
      <x:c r="I27" s="0" t="s">
        <x:v>23</x:v>
      </x:c>
      <x:c r="K27" s="8">
        <x:v>243</x:v>
      </x:c>
      <x:c r="L27" s="0" t="s">
        <x:v>24</x:v>
      </x:c>
      <x:c r="M27" s="0" t="s">
        <x:v>25</x:v>
      </x:c>
      <x:c r="N27" s="0" t="s">
        <x:v>26</x:v>
      </x:c>
      <x:c r="P27" s="0" t="s">
        <x:v>27</x:v>
      </x:c>
    </x:row>
    <x:row r="28" spans="1:20">
      <x:c r="A28" s="0">
        <x:v>27</x:v>
      </x:c>
      <x:c r="B28" s="0" t="s">
        <x:v>47</x:v>
      </x:c>
      <x:c r="C28" s="0" t="s">
        <x:v>21</x:v>
      </x:c>
      <x:c r="D28" s="0" t="s">
        <x:v>22</x:v>
      </x:c>
      <x:c r="E28" s="0">
        <x:v>1</x:v>
      </x:c>
      <x:c r="F28" s="0">
        <x:v>6</x:v>
      </x:c>
      <x:c r="G28" s="8">
        <x:v>263.25</x:v>
      </x:c>
      <x:c r="H28" s="8">
        <x:v>1579.5</x:v>
      </x:c>
      <x:c r="I28" s="0" t="s">
        <x:v>23</x:v>
      </x:c>
      <x:c r="K28" s="8">
        <x:v>1579.5</x:v>
      </x:c>
      <x:c r="L28" s="0" t="s">
        <x:v>24</x:v>
      </x:c>
      <x:c r="M28" s="0" t="s">
        <x:v>25</x:v>
      </x:c>
      <x:c r="N28" s="0" t="s">
        <x:v>26</x:v>
      </x:c>
      <x:c r="P28" s="0" t="s">
        <x:v>27</x:v>
      </x:c>
    </x:row>
    <x:row r="29" spans="1:20">
      <x:c r="A29" s="0">
        <x:v>28</x:v>
      </x:c>
      <x:c r="B29" s="0" t="s">
        <x:v>135</x:v>
      </x:c>
      <x:c r="C29" s="0" t="s">
        <x:v>21</x:v>
      </x:c>
      <x:c r="D29" s="0" t="s">
        <x:v>22</x:v>
      </x:c>
      <x:c r="E29" s="0">
        <x:v>1</x:v>
      </x:c>
      <x:c r="F29" s="0">
        <x:v>1</x:v>
      </x:c>
      <x:c r="G29" s="8">
        <x:v>150</x:v>
      </x:c>
      <x:c r="H29" s="8">
        <x:v>150</x:v>
      </x:c>
      <x:c r="I29" s="0" t="s">
        <x:v>23</x:v>
      </x:c>
      <x:c r="K29" s="8">
        <x:v>150</x:v>
      </x:c>
      <x:c r="L29" s="0" t="s">
        <x:v>24</x:v>
      </x:c>
      <x:c r="M29" s="0" t="s">
        <x:v>25</x:v>
      </x:c>
      <x:c r="N29" s="0" t="s">
        <x:v>26</x:v>
      </x:c>
      <x:c r="P29" s="0" t="s">
        <x:v>27</x:v>
      </x:c>
    </x:row>
    <x:row r="30" spans="1:20">
      <x:c r="A30" s="0">
        <x:v>29</x:v>
      </x:c>
      <x:c r="B30" s="0" t="s">
        <x:v>95</x:v>
      </x:c>
      <x:c r="C30" s="0" t="s">
        <x:v>21</x:v>
      </x:c>
      <x:c r="D30" s="0" t="s">
        <x:v>22</x:v>
      </x:c>
      <x:c r="E30" s="0">
        <x:v>1</x:v>
      </x:c>
      <x:c r="F30" s="0">
        <x:v>1</x:v>
      </x:c>
      <x:c r="G30" s="8">
        <x:v>300</x:v>
      </x:c>
      <x:c r="H30" s="8">
        <x:v>300</x:v>
      </x:c>
      <x:c r="I30" s="0" t="s">
        <x:v>23</x:v>
      </x:c>
      <x:c r="K30" s="8">
        <x:v>300</x:v>
      </x:c>
      <x:c r="L30" s="0" t="s">
        <x:v>24</x:v>
      </x:c>
      <x:c r="M30" s="0" t="s">
        <x:v>25</x:v>
      </x:c>
      <x:c r="N30" s="0" t="s">
        <x:v>26</x:v>
      </x:c>
      <x:c r="P30" s="0" t="s">
        <x:v>27</x:v>
      </x:c>
    </x:row>
    <x:row r="31" spans="1:20">
      <x:c r="A31" s="0">
        <x:v>30</x:v>
      </x:c>
      <x:c r="B31" s="0" t="s">
        <x:v>50</x:v>
      </x:c>
      <x:c r="C31" s="0" t="s">
        <x:v>21</x:v>
      </x:c>
      <x:c r="D31" s="0" t="s">
        <x:v>22</x:v>
      </x:c>
      <x:c r="E31" s="0">
        <x:v>1</x:v>
      </x:c>
      <x:c r="F31" s="0">
        <x:v>2</x:v>
      </x:c>
      <x:c r="G31" s="8">
        <x:v>180</x:v>
      </x:c>
      <x:c r="H31" s="8">
        <x:v>360</x:v>
      </x:c>
      <x:c r="I31" s="0" t="s">
        <x:v>23</x:v>
      </x:c>
      <x:c r="K31" s="8">
        <x:v>360</x:v>
      </x:c>
      <x:c r="L31" s="0" t="s">
        <x:v>24</x:v>
      </x:c>
      <x:c r="M31" s="0" t="s">
        <x:v>25</x:v>
      </x:c>
      <x:c r="N31" s="0" t="s">
        <x:v>26</x:v>
      </x:c>
      <x:c r="P31" s="0" t="s">
        <x:v>27</x:v>
      </x:c>
    </x:row>
    <x:row r="32" spans="1:20">
      <x:c r="A32" s="0">
        <x:v>31</x:v>
      </x:c>
      <x:c r="B32" s="0" t="s">
        <x:v>51</x:v>
      </x:c>
      <x:c r="C32" s="0" t="s">
        <x:v>21</x:v>
      </x:c>
      <x:c r="D32" s="0" t="s">
        <x:v>22</x:v>
      </x:c>
      <x:c r="E32" s="0">
        <x:v>1</x:v>
      </x:c>
      <x:c r="F32" s="0">
        <x:v>2</x:v>
      </x:c>
      <x:c r="G32" s="8">
        <x:v>50.95</x:v>
      </x:c>
      <x:c r="H32" s="8">
        <x:v>101.9</x:v>
      </x:c>
      <x:c r="I32" s="0" t="s">
        <x:v>23</x:v>
      </x:c>
      <x:c r="K32" s="8">
        <x:v>101.9</x:v>
      </x:c>
      <x:c r="L32" s="0" t="s">
        <x:v>24</x:v>
      </x:c>
      <x:c r="M32" s="0" t="s">
        <x:v>25</x:v>
      </x:c>
      <x:c r="N32" s="0" t="s">
        <x:v>26</x:v>
      </x:c>
      <x:c r="P32" s="0" t="s">
        <x:v>27</x:v>
      </x:c>
    </x:row>
    <x:row r="33" spans="1:20">
      <x:c r="A33" s="0">
        <x:v>32</x:v>
      </x:c>
      <x:c r="B33" s="0" t="s">
        <x:v>52</x:v>
      </x:c>
      <x:c r="C33" s="0" t="s">
        <x:v>21</x:v>
      </x:c>
      <x:c r="D33" s="0" t="s">
        <x:v>22</x:v>
      </x:c>
      <x:c r="E33" s="0">
        <x:v>1</x:v>
      </x:c>
      <x:c r="F33" s="0">
        <x:v>4</x:v>
      </x:c>
      <x:c r="G33" s="8">
        <x:v>242.89</x:v>
      </x:c>
      <x:c r="H33" s="8">
        <x:v>971.57</x:v>
      </x:c>
      <x:c r="I33" s="0" t="s">
        <x:v>23</x:v>
      </x:c>
      <x:c r="K33" s="8">
        <x:v>971.57</x:v>
      </x:c>
      <x:c r="L33" s="0" t="s">
        <x:v>24</x:v>
      </x:c>
      <x:c r="M33" s="0" t="s">
        <x:v>25</x:v>
      </x:c>
      <x:c r="N33" s="0" t="s">
        <x:v>26</x:v>
      </x:c>
      <x:c r="P33" s="0" t="s">
        <x:v>27</x:v>
      </x:c>
    </x:row>
    <x:row r="34" spans="1:20">
      <x:c r="A34" s="0">
        <x:v>33</x:v>
      </x:c>
      <x:c r="B34" s="0" t="s">
        <x:v>136</x:v>
      </x:c>
      <x:c r="C34" s="0" t="s">
        <x:v>21</x:v>
      </x:c>
      <x:c r="D34" s="0" t="s">
        <x:v>34</x:v>
      </x:c>
      <x:c r="E34" s="0">
        <x:v>1</x:v>
      </x:c>
      <x:c r="F34" s="0">
        <x:v>0.03</x:v>
      </x:c>
      <x:c r="G34" s="8">
        <x:v>2700</x:v>
      </x:c>
      <x:c r="H34" s="8">
        <x:v>81</x:v>
      </x:c>
      <x:c r="I34" s="0" t="s">
        <x:v>23</x:v>
      </x:c>
      <x:c r="K34" s="8">
        <x:v>81</x:v>
      </x:c>
      <x:c r="L34" s="0" t="s">
        <x:v>24</x:v>
      </x:c>
      <x:c r="M34" s="0" t="s">
        <x:v>25</x:v>
      </x:c>
      <x:c r="N34" s="0" t="s">
        <x:v>26</x:v>
      </x:c>
      <x:c r="P34" s="0" t="s">
        <x:v>27</x:v>
      </x:c>
    </x:row>
    <x:row r="35" spans="1:20">
      <x:c r="A35" s="0">
        <x:v>34</x:v>
      </x:c>
      <x:c r="B35" s="0" t="s">
        <x:v>53</x:v>
      </x:c>
      <x:c r="C35" s="0" t="s">
        <x:v>21</x:v>
      </x:c>
      <x:c r="D35" s="0" t="s">
        <x:v>22</x:v>
      </x:c>
      <x:c r="E35" s="0">
        <x:v>1</x:v>
      </x:c>
      <x:c r="F35" s="0">
        <x:v>4</x:v>
      </x:c>
      <x:c r="G35" s="8">
        <x:v>38.48</x:v>
      </x:c>
      <x:c r="H35" s="8">
        <x:v>153.93</x:v>
      </x:c>
      <x:c r="I35" s="0" t="s">
        <x:v>23</x:v>
      </x:c>
      <x:c r="K35" s="8">
        <x:v>153.93</x:v>
      </x:c>
      <x:c r="L35" s="0" t="s">
        <x:v>24</x:v>
      </x:c>
      <x:c r="M35" s="0" t="s">
        <x:v>25</x:v>
      </x:c>
      <x:c r="N35" s="0" t="s">
        <x:v>26</x:v>
      </x:c>
      <x:c r="P35" s="0" t="s">
        <x:v>27</x:v>
      </x:c>
    </x:row>
    <x:row r="36" spans="1:20">
      <x:c r="A36" s="0">
        <x:v>35</x:v>
      </x:c>
      <x:c r="B36" s="0" t="s">
        <x:v>128</x:v>
      </x:c>
      <x:c r="C36" s="0" t="s">
        <x:v>21</x:v>
      </x:c>
      <x:c r="D36" s="0" t="s">
        <x:v>34</x:v>
      </x:c>
      <x:c r="E36" s="0">
        <x:v>1</x:v>
      </x:c>
      <x:c r="F36" s="0">
        <x:v>0.05</x:v>
      </x:c>
      <x:c r="G36" s="8">
        <x:v>3000</x:v>
      </x:c>
      <x:c r="H36" s="8">
        <x:v>150</x:v>
      </x:c>
      <x:c r="I36" s="0" t="s">
        <x:v>23</x:v>
      </x:c>
      <x:c r="K36" s="8">
        <x:v>150</x:v>
      </x:c>
      <x:c r="L36" s="0" t="s">
        <x:v>24</x:v>
      </x:c>
      <x:c r="M36" s="0" t="s">
        <x:v>25</x:v>
      </x:c>
      <x:c r="N36" s="0" t="s">
        <x:v>26</x:v>
      </x:c>
      <x:c r="P36" s="0" t="s">
        <x:v>27</x:v>
      </x:c>
    </x:row>
    <x:row r="37" spans="1:20">
      <x:c r="A37" s="0">
        <x:v>36</x:v>
      </x:c>
      <x:c r="B37" s="0" t="s">
        <x:v>55</x:v>
      </x:c>
      <x:c r="C37" s="0" t="s">
        <x:v>21</x:v>
      </x:c>
      <x:c r="D37" s="0" t="s">
        <x:v>22</x:v>
      </x:c>
      <x:c r="E37" s="0">
        <x:v>1</x:v>
      </x:c>
      <x:c r="F37" s="0">
        <x:v>3</x:v>
      </x:c>
      <x:c r="G37" s="8">
        <x:v>350</x:v>
      </x:c>
      <x:c r="H37" s="8">
        <x:v>1050</x:v>
      </x:c>
      <x:c r="I37" s="0" t="s">
        <x:v>23</x:v>
      </x:c>
      <x:c r="K37" s="8">
        <x:v>1050</x:v>
      </x:c>
      <x:c r="L37" s="0" t="s">
        <x:v>24</x:v>
      </x:c>
      <x:c r="M37" s="0" t="s">
        <x:v>25</x:v>
      </x:c>
      <x:c r="N37" s="0" t="s">
        <x:v>26</x:v>
      </x:c>
      <x:c r="P37" s="0" t="s">
        <x:v>27</x:v>
      </x:c>
    </x:row>
    <x:row r="38" spans="1:20">
      <x:c r="A38" s="0">
        <x:v>37</x:v>
      </x:c>
      <x:c r="B38" s="0" t="s">
        <x:v>57</x:v>
      </x:c>
      <x:c r="C38" s="0" t="s">
        <x:v>21</x:v>
      </x:c>
      <x:c r="D38" s="0" t="s">
        <x:v>22</x:v>
      </x:c>
      <x:c r="E38" s="0">
        <x:v>1</x:v>
      </x:c>
      <x:c r="F38" s="0">
        <x:v>4</x:v>
      </x:c>
      <x:c r="G38" s="8">
        <x:v>150</x:v>
      </x:c>
      <x:c r="H38" s="8">
        <x:v>600</x:v>
      </x:c>
      <x:c r="I38" s="0" t="s">
        <x:v>23</x:v>
      </x:c>
      <x:c r="K38" s="8">
        <x:v>600</x:v>
      </x:c>
      <x:c r="L38" s="0" t="s">
        <x:v>24</x:v>
      </x:c>
      <x:c r="M38" s="0" t="s">
        <x:v>25</x:v>
      </x:c>
      <x:c r="N38" s="0" t="s">
        <x:v>26</x:v>
      </x:c>
      <x:c r="P38" s="0" t="s">
        <x:v>27</x:v>
      </x:c>
    </x:row>
    <x:row r="39" spans="1:20">
      <x:c r="A39" s="0">
        <x:v>38</x:v>
      </x:c>
      <x:c r="B39" s="0" t="s">
        <x:v>58</x:v>
      </x:c>
      <x:c r="C39" s="0" t="s">
        <x:v>21</x:v>
      </x:c>
      <x:c r="D39" s="0" t="s">
        <x:v>22</x:v>
      </x:c>
      <x:c r="E39" s="0">
        <x:v>1</x:v>
      </x:c>
      <x:c r="F39" s="0">
        <x:v>1</x:v>
      </x:c>
      <x:c r="G39" s="8">
        <x:v>280</x:v>
      </x:c>
      <x:c r="H39" s="8">
        <x:v>280</x:v>
      </x:c>
      <x:c r="I39" s="0" t="s">
        <x:v>23</x:v>
      </x:c>
      <x:c r="K39" s="8">
        <x:v>280</x:v>
      </x:c>
      <x:c r="L39" s="0" t="s">
        <x:v>24</x:v>
      </x:c>
      <x:c r="M39" s="0" t="s">
        <x:v>25</x:v>
      </x:c>
      <x:c r="N39" s="0" t="s">
        <x:v>26</x:v>
      </x:c>
      <x:c r="P39" s="0" t="s">
        <x:v>27</x:v>
      </x:c>
    </x:row>
    <x:row r="40" spans="1:20">
      <x:c r="A40" s="0">
        <x:v>39</x:v>
      </x:c>
      <x:c r="B40" s="0" t="s">
        <x:v>60</x:v>
      </x:c>
      <x:c r="C40" s="0" t="s">
        <x:v>21</x:v>
      </x:c>
      <x:c r="D40" s="0" t="s">
        <x:v>22</x:v>
      </x:c>
      <x:c r="E40" s="0">
        <x:v>1</x:v>
      </x:c>
      <x:c r="F40" s="0">
        <x:v>1</x:v>
      </x:c>
      <x:c r="G40" s="8">
        <x:v>150</x:v>
      </x:c>
      <x:c r="H40" s="8">
        <x:v>150</x:v>
      </x:c>
      <x:c r="I40" s="0" t="s">
        <x:v>23</x:v>
      </x:c>
      <x:c r="K40" s="8">
        <x:v>150</x:v>
      </x:c>
      <x:c r="L40" s="0" t="s">
        <x:v>24</x:v>
      </x:c>
      <x:c r="M40" s="0" t="s">
        <x:v>25</x:v>
      </x:c>
      <x:c r="N40" s="0" t="s">
        <x:v>26</x:v>
      </x:c>
      <x:c r="P40" s="0" t="s">
        <x:v>27</x:v>
      </x:c>
    </x:row>
    <x:row r="41" spans="1:20">
      <x:c r="H41" s="18">
        <x:f>SUM(H2:H40)</x:f>
      </x:c>
    </x:row>
    <x:row r="43" spans="1:20">
      <x:c r="B43" s="19" t="s">
        <x:v>163</x:v>
      </x:c>
      <x:c r="C43" s="20"/>
      <x:c r="D43" s="20"/>
      <x:c r="E43" s="20"/>
      <x:c r="F43" s="20"/>
      <x:c r="G43" s="20"/>
      <x:c r="H43" s="21">
        <x:f>SUM(H44:H46)</x:f>
      </x:c>
      <x:c r="I43" s="22" t="s">
        <x:v>164</x:v>
      </x:c>
    </x:row>
    <x:row r="44" spans="1:20">
      <x:c r="B44" s="21" t="s">
        <x:v>165</x:v>
      </x:c>
      <x:c r="C44" s="21"/>
      <x:c r="D44" s="21"/>
      <x:c r="E44" s="21"/>
      <x:c r="F44" s="20">
        <x:f>F2+F3+F4+F5+F7+F8+F9+F10+F22+F23+F24+F28+F29+F30+F33+F38+F39+F40</x:f>
      </x:c>
      <x:c r="G44" s="20">
        <x:f>G2+G3+G4+G5+G7+G8+G9+G10+G22+G23+G24+G28+G29+G30+G33+G38+G39+G40</x:f>
      </x:c>
      <x:c r="H44" s="20">
        <x:f>H2+H3+H4+H5+H7+H8+H9+H10+H22+H23+H24+H28+H29+H30+H33+H38+H39+H40</x:f>
      </x:c>
      <x:c r="I44" s="15"/>
    </x:row>
    <x:row r="45" spans="1:20">
      <x:c r="B45" s="21" t="s">
        <x:v>166</x:v>
      </x:c>
      <x:c r="C45" s="21"/>
      <x:c r="D45" s="21"/>
      <x:c r="E45" s="21"/>
      <x:c r="F45" s="20"/>
      <x:c r="G45" s="20"/>
      <x:c r="H45" s="20"/>
      <x:c r="I45" s="15"/>
    </x:row>
    <x:row r="46" spans="1:20">
      <x:c r="B46" s="21" t="s">
        <x:v>167</x:v>
      </x:c>
      <x:c r="C46" s="21"/>
      <x:c r="D46" s="21"/>
      <x:c r="E46" s="21"/>
      <x:c r="F46" s="20">
        <x:f>F11+F32+F35</x:f>
      </x:c>
      <x:c r="G46" s="20">
        <x:f>G11+G32+G35</x:f>
      </x:c>
      <x:c r="H46" s="20">
        <x:f>H11+H32+H35</x:f>
      </x:c>
      <x:c r="I46" s="15"/>
    </x:row>
    <x:row r="47" spans="1:20">
      <x:c r="B47" s="19" t="s">
        <x:v>168</x:v>
      </x:c>
      <x:c r="C47" s="20"/>
      <x:c r="D47" s="20"/>
      <x:c r="E47" s="20"/>
      <x:c r="F47" s="20"/>
      <x:c r="G47" s="20"/>
      <x:c r="H47" s="21">
        <x:f>SUM(H48:H54)</x:f>
      </x:c>
      <x:c r="I47" s="22" t="s">
        <x:v>169</x:v>
      </x:c>
    </x:row>
    <x:row r="48" spans="1:20">
      <x:c r="B48" s="21" t="s">
        <x:v>170</x:v>
      </x:c>
      <x:c r="C48" s="21"/>
      <x:c r="D48" s="21"/>
      <x:c r="E48" s="21"/>
      <x:c r="F48" s="20">
        <x:f>F14+F15+F16+F17+F18+F19+F20+F21</x:f>
      </x:c>
      <x:c r="G48" s="20">
        <x:f>G14+G15+G16+G17+G18+G19+G20+G21</x:f>
      </x:c>
      <x:c r="H48" s="20">
        <x:f>H14+H15+H16+H17+H18+H19+H20+H21</x:f>
      </x:c>
      <x:c r="I48" s="15"/>
    </x:row>
    <x:row r="49" spans="1:20">
      <x:c r="B49" s="21" t="s">
        <x:v>171</x:v>
      </x:c>
      <x:c r="C49" s="21"/>
      <x:c r="D49" s="21"/>
      <x:c r="E49" s="21"/>
      <x:c r="F49" s="20"/>
      <x:c r="G49" s="20"/>
      <x:c r="H49" s="20"/>
      <x:c r="I49" s="15"/>
    </x:row>
    <x:row r="50" spans="1:20">
      <x:c r="B50" s="21" t="s">
        <x:v>172</x:v>
      </x:c>
      <x:c r="C50" s="21"/>
      <x:c r="D50" s="21"/>
      <x:c r="E50" s="21"/>
      <x:c r="F50" s="20">
        <x:f>F12+F13</x:f>
      </x:c>
      <x:c r="G50" s="20">
        <x:f>G12+G13</x:f>
      </x:c>
      <x:c r="H50" s="20">
        <x:f>H12+H13</x:f>
      </x:c>
      <x:c r="I50" s="15"/>
    </x:row>
    <x:row r="51" spans="1:20">
      <x:c r="B51" s="21" t="s">
        <x:v>173</x:v>
      </x:c>
      <x:c r="C51" s="21"/>
      <x:c r="D51" s="21"/>
      <x:c r="E51" s="21"/>
      <x:c r="F51" s="20">
        <x:f>F6+F34+F36</x:f>
      </x:c>
      <x:c r="G51" s="20">
        <x:f>G6+G34+G36</x:f>
      </x:c>
      <x:c r="H51" s="20">
        <x:f>H6+H34+H36</x:f>
      </x:c>
      <x:c r="I51" s="15"/>
    </x:row>
    <x:row r="52" spans="1:20">
      <x:c r="B52" s="21" t="s">
        <x:v>174</x:v>
      </x:c>
      <x:c r="C52" s="21"/>
      <x:c r="D52" s="21"/>
      <x:c r="E52" s="21"/>
      <x:c r="F52" s="20"/>
      <x:c r="G52" s="20"/>
      <x:c r="H52" s="20"/>
      <x:c r="I52" s="15"/>
    </x:row>
    <x:row r="53" spans="1:20">
      <x:c r="B53" s="21" t="s">
        <x:v>70</x:v>
      </x:c>
      <x:c r="C53" s="21"/>
      <x:c r="D53" s="21"/>
      <x:c r="E53" s="21"/>
      <x:c r="F53" s="20"/>
      <x:c r="G53" s="20"/>
      <x:c r="H53" s="20"/>
      <x:c r="I53" s="15"/>
    </x:row>
    <x:row r="54" spans="1:20">
      <x:c r="B54" s="21" t="s">
        <x:v>175</x:v>
      </x:c>
      <x:c r="C54" s="21"/>
      <x:c r="D54" s="21"/>
      <x:c r="E54" s="21"/>
      <x:c r="F54" s="20"/>
      <x:c r="G54" s="20"/>
      <x:c r="H54" s="20"/>
      <x:c r="I54" s="15"/>
    </x:row>
    <x:row r="55" spans="1:20">
      <x:c r="B55" s="19" t="s">
        <x:v>176</x:v>
      </x:c>
      <x:c r="C55" s="20"/>
      <x:c r="D55" s="20"/>
      <x:c r="E55" s="20"/>
      <x:c r="F55" s="20"/>
      <x:c r="G55" s="20"/>
      <x:c r="H55" s="21">
        <x:f>SUM(H56:H61)</x:f>
      </x:c>
      <x:c r="I55" s="22" t="s">
        <x:v>177</x:v>
      </x:c>
    </x:row>
    <x:row r="56" spans="1:20">
      <x:c r="B56" s="21" t="s">
        <x:v>178</x:v>
      </x:c>
      <x:c r="C56" s="21"/>
      <x:c r="D56" s="21"/>
      <x:c r="E56" s="21"/>
      <x:c r="F56" s="20"/>
      <x:c r="G56" s="20"/>
      <x:c r="H56" s="20"/>
      <x:c r="I56" s="15"/>
    </x:row>
    <x:row r="57" spans="1:20">
      <x:c r="B57" s="21" t="s">
        <x:v>179</x:v>
      </x:c>
      <x:c r="C57" s="21"/>
      <x:c r="D57" s="21"/>
      <x:c r="E57" s="21"/>
      <x:c r="F57" s="20">
        <x:f>F37</x:f>
      </x:c>
      <x:c r="G57" s="20">
        <x:f>G37</x:f>
      </x:c>
      <x:c r="H57" s="20">
        <x:f>H37</x:f>
      </x:c>
      <x:c r="I57" s="15"/>
    </x:row>
    <x:row r="58" spans="1:20">
      <x:c r="B58" s="21" t="s">
        <x:v>54</x:v>
      </x:c>
      <x:c r="C58" s="21"/>
      <x:c r="D58" s="21"/>
      <x:c r="E58" s="21"/>
      <x:c r="F58" s="20"/>
      <x:c r="G58" s="20"/>
      <x:c r="H58" s="20"/>
      <x:c r="I58" s="15"/>
    </x:row>
    <x:row r="59" spans="1:20">
      <x:c r="B59" s="21" t="s">
        <x:v>180</x:v>
      </x:c>
      <x:c r="C59" s="21"/>
      <x:c r="D59" s="21"/>
      <x:c r="E59" s="21"/>
      <x:c r="F59" s="20"/>
      <x:c r="G59" s="20"/>
      <x:c r="H59" s="20"/>
      <x:c r="I59" s="15"/>
    </x:row>
    <x:row r="60" spans="1:20">
      <x:c r="B60" s="21" t="s">
        <x:v>181</x:v>
      </x:c>
      <x:c r="C60" s="21"/>
      <x:c r="D60" s="21"/>
      <x:c r="E60" s="21"/>
      <x:c r="F60" s="20">
        <x:f>F26+F27+F31</x:f>
      </x:c>
      <x:c r="G60" s="20">
        <x:f>G26+G27+G31</x:f>
      </x:c>
      <x:c r="H60" s="20">
        <x:f>H26+H27+H31</x:f>
      </x:c>
      <x:c r="I60" s="15"/>
    </x:row>
    <x:row r="61" spans="1:20">
      <x:c r="B61" s="21" t="s">
        <x:v>182</x:v>
      </x:c>
      <x:c r="C61" s="21"/>
      <x:c r="D61" s="21"/>
      <x:c r="E61" s="21"/>
      <x:c r="F61" s="20">
        <x:f>F25</x:f>
      </x:c>
      <x:c r="G61" s="20">
        <x:f>G25</x:f>
      </x:c>
      <x:c r="H61" s="20">
        <x:f>H25</x:f>
      </x:c>
      <x:c r="I61" s="15"/>
    </x:row>
    <x:row r="62" spans="1:20">
      <x:c r="B62" s="19" t="s">
        <x:v>183</x:v>
      </x:c>
      <x:c r="C62" s="20"/>
      <x:c r="D62" s="20"/>
      <x:c r="E62" s="20"/>
      <x:c r="F62" s="20"/>
      <x:c r="G62" s="20"/>
      <x:c r="H62" s="21">
        <x:f>SUM(H63:H64)</x:f>
      </x:c>
      <x:c r="I62" s="22"/>
    </x:row>
    <x:row r="63" spans="1:20">
      <x:c r="B63" s="21" t="s">
        <x:v>184</x:v>
      </x:c>
      <x:c r="C63" s="21"/>
      <x:c r="D63" s="21"/>
      <x:c r="E63" s="21"/>
      <x:c r="F63" s="20"/>
      <x:c r="G63" s="20"/>
      <x:c r="H63" s="20"/>
      <x:c r="I63" s="15"/>
    </x:row>
    <x:row r="64" spans="1:20">
      <x:c r="B64" s="21" t="s">
        <x:v>185</x:v>
      </x:c>
      <x:c r="C64" s="21"/>
      <x:c r="D64" s="21"/>
      <x:c r="E64" s="21"/>
      <x:c r="F64" s="20"/>
      <x:c r="G64" s="20"/>
      <x:c r="H64" s="20"/>
      <x:c r="I64" s="15"/>
    </x:row>
    <x:row r="65" spans="1:20">
      <x:c r="B65" s="22"/>
      <x:c r="C65" s="22"/>
      <x:c r="D65" s="22"/>
      <x:c r="E65" s="22"/>
      <x:c r="F65" s="15"/>
      <x:c r="G65" s="15"/>
      <x:c r="H65" s="22">
        <x:f>H43+H47+H55+H62</x:f>
      </x:c>
      <x:c r="I65" s="15"/>
    </x:row>
    <x:row r="66" spans="1:20">
      <x:c r="H66" s="17">
        <x:f>H65 - H41</x:f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A3EA8ED-0C92-A141-9FBB-19EB92BD1D5A}" mc:Ignorable="x14ac xr xr2 xr3">
  <x:sheetPr>
    <x:outlinePr summaryBelow="1" summaryRight="1"/>
  </x:sheetPr>
  <x:dimension ref="A1:T33"/>
  <x:sheetViews>
    <x:sheetView topLeftCell="A32" zoomScale="125" zoomScaleNormal="125" workbookViewId="0">
      <x:selection activeCell="A34" sqref="A34 A34:I63"/>
    </x:sheetView>
  </x:sheetViews>
  <x:sheetFormatPr defaultColWidth="11.210625" defaultRowHeight="15.75"/>
  <x:cols>
    <x:col min="1" max="1" width="11.210625" style="0" customWidth="1"/>
    <x:col min="2" max="2" width="34" style="0" customWidth="1"/>
    <x:col min="3" max="3" width="3.125" style="0" customWidth="1"/>
    <x:col min="4" max="4" width="2.125" style="0" customWidth="1"/>
    <x:col min="5" max="5" width="1.875" style="0" customWidth="1"/>
  </x:cols>
  <x:sheetData>
    <x:row r="1" spans="1:2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</x:row>
    <x:row r="2" spans="1:20">
      <x:c r="A2" s="0">
        <x:v>1</x:v>
      </x:c>
      <x:c r="B2" s="0" t="s">
        <x:v>61</x:v>
      </x:c>
      <x:c r="C2" s="0" t="s">
        <x:v>21</x:v>
      </x:c>
      <x:c r="D2" s="0" t="s">
        <x:v>22</x:v>
      </x:c>
      <x:c r="E2" s="0">
        <x:v>1</x:v>
      </x:c>
      <x:c r="F2" s="0">
        <x:v>1</x:v>
      </x:c>
      <x:c r="G2" s="8">
        <x:v>113.74</x:v>
      </x:c>
      <x:c r="H2" s="8">
        <x:v>113.74</x:v>
      </x:c>
      <x:c r="I2" s="0" t="s">
        <x:v>23</x:v>
      </x:c>
      <x:c r="K2" s="8">
        <x:v>113.74</x:v>
      </x:c>
      <x:c r="L2" s="0" t="s">
        <x:v>24</x:v>
      </x:c>
      <x:c r="M2" s="0" t="s">
        <x:v>25</x:v>
      </x:c>
      <x:c r="N2" s="0" t="s">
        <x:v>26</x:v>
      </x:c>
      <x:c r="P2" s="0" t="s">
        <x:v>27</x:v>
      </x:c>
    </x:row>
    <x:row r="3" spans="1:20">
      <x:c r="A3" s="0">
        <x:v>2</x:v>
      </x:c>
      <x:c r="B3" s="0" t="s">
        <x:v>20</x:v>
      </x:c>
      <x:c r="C3" s="0" t="s">
        <x:v>21</x:v>
      </x:c>
      <x:c r="D3" s="0" t="s">
        <x:v>22</x:v>
      </x:c>
      <x:c r="E3" s="0">
        <x:v>1</x:v>
      </x:c>
      <x:c r="F3" s="0">
        <x:v>2</x:v>
      </x:c>
      <x:c r="G3" s="8">
        <x:v>150</x:v>
      </x:c>
      <x:c r="H3" s="8">
        <x:v>300</x:v>
      </x:c>
      <x:c r="I3" s="0" t="s">
        <x:v>23</x:v>
      </x:c>
      <x:c r="K3" s="8">
        <x:v>300</x:v>
      </x:c>
      <x:c r="L3" s="0" t="s">
        <x:v>24</x:v>
      </x:c>
      <x:c r="M3" s="0" t="s">
        <x:v>25</x:v>
      </x:c>
      <x:c r="N3" s="0" t="s">
        <x:v>26</x:v>
      </x:c>
      <x:c r="P3" s="0" t="s">
        <x:v>27</x:v>
      </x:c>
    </x:row>
    <x:row r="4" spans="1:20">
      <x:c r="A4" s="0">
        <x:v>3</x:v>
      </x:c>
      <x:c r="B4" s="0" t="s">
        <x:v>121</x:v>
      </x:c>
      <x:c r="C4" s="0" t="s">
        <x:v>21</x:v>
      </x:c>
      <x:c r="D4" s="0" t="s">
        <x:v>22</x:v>
      </x:c>
      <x:c r="E4" s="0">
        <x:v>1</x:v>
      </x:c>
      <x:c r="F4" s="0">
        <x:v>1</x:v>
      </x:c>
      <x:c r="G4" s="8">
        <x:v>150</x:v>
      </x:c>
      <x:c r="H4" s="8">
        <x:v>150</x:v>
      </x:c>
      <x:c r="I4" s="0" t="s">
        <x:v>23</x:v>
      </x:c>
      <x:c r="K4" s="8">
        <x:v>150</x:v>
      </x:c>
      <x:c r="L4" s="0" t="s">
        <x:v>24</x:v>
      </x:c>
      <x:c r="M4" s="0" t="s">
        <x:v>25</x:v>
      </x:c>
      <x:c r="N4" s="0" t="s">
        <x:v>26</x:v>
      </x:c>
      <x:c r="P4" s="0" t="s">
        <x:v>27</x:v>
      </x:c>
    </x:row>
    <x:row r="5" spans="1:20">
      <x:c r="A5" s="0">
        <x:v>4</x:v>
      </x:c>
      <x:c r="B5" s="0" t="s">
        <x:v>29</x:v>
      </x:c>
      <x:c r="C5" s="0" t="s">
        <x:v>21</x:v>
      </x:c>
      <x:c r="D5" s="0" t="s">
        <x:v>22</x:v>
      </x:c>
      <x:c r="E5" s="0">
        <x:v>1</x:v>
      </x:c>
      <x:c r="F5" s="0">
        <x:v>1</x:v>
      </x:c>
      <x:c r="G5" s="8">
        <x:v>250</x:v>
      </x:c>
      <x:c r="H5" s="8">
        <x:v>250</x:v>
      </x:c>
      <x:c r="I5" s="0" t="s">
        <x:v>23</x:v>
      </x:c>
      <x:c r="K5" s="8">
        <x:v>250</x:v>
      </x:c>
      <x:c r="L5" s="0" t="s">
        <x:v>24</x:v>
      </x:c>
      <x:c r="M5" s="0" t="s">
        <x:v>25</x:v>
      </x:c>
      <x:c r="N5" s="0" t="s">
        <x:v>26</x:v>
      </x:c>
      <x:c r="P5" s="0" t="s">
        <x:v>27</x:v>
      </x:c>
    </x:row>
    <x:row r="6" spans="1:20">
      <x:c r="A6" s="0">
        <x:v>5</x:v>
      </x:c>
      <x:c r="B6" s="0" t="s">
        <x:v>30</x:v>
      </x:c>
      <x:c r="C6" s="0" t="s">
        <x:v>21</x:v>
      </x:c>
      <x:c r="D6" s="0" t="s">
        <x:v>22</x:v>
      </x:c>
      <x:c r="E6" s="0">
        <x:v>1</x:v>
      </x:c>
      <x:c r="F6" s="0">
        <x:v>8</x:v>
      </x:c>
      <x:c r="G6" s="8">
        <x:v>313.5</x:v>
      </x:c>
      <x:c r="H6" s="8">
        <x:v>2508</x:v>
      </x:c>
      <x:c r="I6" s="0" t="s">
        <x:v>23</x:v>
      </x:c>
      <x:c r="K6" s="8">
        <x:v>2508</x:v>
      </x:c>
      <x:c r="L6" s="0" t="s">
        <x:v>24</x:v>
      </x:c>
      <x:c r="M6" s="0" t="s">
        <x:v>25</x:v>
      </x:c>
      <x:c r="N6" s="0" t="s">
        <x:v>26</x:v>
      </x:c>
      <x:c r="P6" s="0" t="s">
        <x:v>27</x:v>
      </x:c>
    </x:row>
    <x:row r="7" spans="1:20">
      <x:c r="A7" s="0">
        <x:v>6</x:v>
      </x:c>
      <x:c r="B7" s="0" t="s">
        <x:v>31</x:v>
      </x:c>
      <x:c r="C7" s="0" t="s">
        <x:v>21</x:v>
      </x:c>
      <x:c r="D7" s="0" t="s">
        <x:v>22</x:v>
      </x:c>
      <x:c r="E7" s="0">
        <x:v>1</x:v>
      </x:c>
      <x:c r="F7" s="0">
        <x:v>1</x:v>
      </x:c>
      <x:c r="G7" s="8">
        <x:v>100</x:v>
      </x:c>
      <x:c r="H7" s="8">
        <x:v>100</x:v>
      </x:c>
      <x:c r="I7" s="0" t="s">
        <x:v>23</x:v>
      </x:c>
      <x:c r="K7" s="8">
        <x:v>100</x:v>
      </x:c>
      <x:c r="L7" s="0" t="s">
        <x:v>24</x:v>
      </x:c>
      <x:c r="M7" s="0" t="s">
        <x:v>25</x:v>
      </x:c>
      <x:c r="N7" s="0" t="s">
        <x:v>26</x:v>
      </x:c>
      <x:c r="P7" s="0" t="s">
        <x:v>27</x:v>
      </x:c>
    </x:row>
    <x:row r="8" spans="1:20">
      <x:c r="A8" s="0">
        <x:v>7</x:v>
      </x:c>
      <x:c r="B8" s="0" t="s">
        <x:v>32</x:v>
      </x:c>
      <x:c r="C8" s="0" t="s">
        <x:v>21</x:v>
      </x:c>
      <x:c r="D8" s="0" t="s">
        <x:v>22</x:v>
      </x:c>
      <x:c r="E8" s="0">
        <x:v>1</x:v>
      </x:c>
      <x:c r="F8" s="0">
        <x:v>5</x:v>
      </x:c>
      <x:c r="G8" s="8">
        <x:v>80</x:v>
      </x:c>
      <x:c r="H8" s="8">
        <x:v>400</x:v>
      </x:c>
      <x:c r="I8" s="0" t="s">
        <x:v>23</x:v>
      </x:c>
      <x:c r="K8" s="8">
        <x:v>400</x:v>
      </x:c>
      <x:c r="L8" s="0" t="s">
        <x:v>24</x:v>
      </x:c>
      <x:c r="M8" s="0" t="s">
        <x:v>25</x:v>
      </x:c>
      <x:c r="N8" s="0" t="s">
        <x:v>26</x:v>
      </x:c>
      <x:c r="P8" s="0" t="s">
        <x:v>27</x:v>
      </x:c>
    </x:row>
    <x:row r="9" spans="1:20">
      <x:c r="A9" s="0">
        <x:v>8</x:v>
      </x:c>
      <x:c r="B9" s="0" t="s">
        <x:v>76</x:v>
      </x:c>
      <x:c r="C9" s="0" t="s">
        <x:v>21</x:v>
      </x:c>
      <x:c r="D9" s="0" t="s">
        <x:v>34</x:v>
      </x:c>
      <x:c r="E9" s="0">
        <x:v>1</x:v>
      </x:c>
      <x:c r="F9" s="0">
        <x:v>0.1</x:v>
      </x:c>
      <x:c r="G9" s="8">
        <x:v>3180</x:v>
      </x:c>
      <x:c r="H9" s="8">
        <x:v>318</x:v>
      </x:c>
      <x:c r="I9" s="0" t="s">
        <x:v>23</x:v>
      </x:c>
      <x:c r="K9" s="8">
        <x:v>318</x:v>
      </x:c>
      <x:c r="L9" s="0" t="s">
        <x:v>24</x:v>
      </x:c>
      <x:c r="M9" s="0" t="s">
        <x:v>25</x:v>
      </x:c>
      <x:c r="N9" s="0" t="s">
        <x:v>26</x:v>
      </x:c>
      <x:c r="P9" s="0" t="s">
        <x:v>27</x:v>
      </x:c>
    </x:row>
    <x:row r="10" spans="1:20">
      <x:c r="A10" s="0">
        <x:v>9</x:v>
      </x:c>
      <x:c r="B10" s="0" t="s">
        <x:v>64</x:v>
      </x:c>
      <x:c r="C10" s="0" t="s">
        <x:v>21</x:v>
      </x:c>
      <x:c r="D10" s="0" t="s">
        <x:v>34</x:v>
      </x:c>
      <x:c r="E10" s="0">
        <x:v>1</x:v>
      </x:c>
      <x:c r="F10" s="0">
        <x:v>0.1</x:v>
      </x:c>
      <x:c r="G10" s="8">
        <x:v>3480</x:v>
      </x:c>
      <x:c r="H10" s="8">
        <x:v>348</x:v>
      </x:c>
      <x:c r="I10" s="0" t="s">
        <x:v>23</x:v>
      </x:c>
      <x:c r="K10" s="8">
        <x:v>348</x:v>
      </x:c>
      <x:c r="L10" s="0" t="s">
        <x:v>24</x:v>
      </x:c>
      <x:c r="M10" s="0" t="s">
        <x:v>25</x:v>
      </x:c>
      <x:c r="N10" s="0" t="s">
        <x:v>26</x:v>
      </x:c>
      <x:c r="P10" s="0" t="s">
        <x:v>27</x:v>
      </x:c>
    </x:row>
    <x:row r="11" spans="1:20">
      <x:c r="A11" s="0">
        <x:v>10</x:v>
      </x:c>
      <x:c r="B11" s="0" t="s">
        <x:v>120</x:v>
      </x:c>
      <x:c r="C11" s="0" t="s">
        <x:v>21</x:v>
      </x:c>
      <x:c r="D11" s="0" t="s">
        <x:v>34</x:v>
      </x:c>
      <x:c r="E11" s="0">
        <x:v>1</x:v>
      </x:c>
      <x:c r="F11" s="0">
        <x:v>0.113</x:v>
      </x:c>
      <x:c r="G11" s="8">
        <x:v>4980</x:v>
      </x:c>
      <x:c r="H11" s="8">
        <x:v>562.74</x:v>
      </x:c>
      <x:c r="I11" s="0" t="s">
        <x:v>23</x:v>
      </x:c>
      <x:c r="K11" s="8">
        <x:v>562.74</x:v>
      </x:c>
      <x:c r="L11" s="0" t="s">
        <x:v>24</x:v>
      </x:c>
      <x:c r="M11" s="0" t="s">
        <x:v>25</x:v>
      </x:c>
      <x:c r="N11" s="0" t="s">
        <x:v>26</x:v>
      </x:c>
      <x:c r="P11" s="0" t="s">
        <x:v>27</x:v>
      </x:c>
    </x:row>
    <x:row r="12" spans="1:20">
      <x:c r="A12" s="0">
        <x:v>11</x:v>
      </x:c>
      <x:c r="B12" s="0" t="s">
        <x:v>70</x:v>
      </x:c>
      <x:c r="C12" s="0" t="s">
        <x:v>21</x:v>
      </x:c>
      <x:c r="D12" s="0" t="s">
        <x:v>22</x:v>
      </x:c>
      <x:c r="E12" s="0">
        <x:v>1</x:v>
      </x:c>
      <x:c r="F12" s="0">
        <x:v>1</x:v>
      </x:c>
      <x:c r="G12" s="8">
        <x:v>250</x:v>
      </x:c>
      <x:c r="H12" s="8">
        <x:v>250</x:v>
      </x:c>
      <x:c r="I12" s="0" t="s">
        <x:v>23</x:v>
      </x:c>
      <x:c r="K12" s="8">
        <x:v>250</x:v>
      </x:c>
      <x:c r="L12" s="0" t="s">
        <x:v>24</x:v>
      </x:c>
      <x:c r="M12" s="0" t="s">
        <x:v>25</x:v>
      </x:c>
      <x:c r="N12" s="0" t="s">
        <x:v>26</x:v>
      </x:c>
      <x:c r="P12" s="0" t="s">
        <x:v>27</x:v>
      </x:c>
    </x:row>
    <x:row r="13" spans="1:20">
      <x:c r="A13" s="0">
        <x:v>12</x:v>
      </x:c>
      <x:c r="B13" s="0" t="s">
        <x:v>37</x:v>
      </x:c>
      <x:c r="C13" s="0" t="s">
        <x:v>21</x:v>
      </x:c>
      <x:c r="D13" s="0" t="s">
        <x:v>22</x:v>
      </x:c>
      <x:c r="E13" s="0">
        <x:v>1</x:v>
      </x:c>
      <x:c r="F13" s="0">
        <x:v>1</x:v>
      </x:c>
      <x:c r="G13" s="8">
        <x:v>339.33</x:v>
      </x:c>
      <x:c r="H13" s="8">
        <x:v>339.33</x:v>
      </x:c>
      <x:c r="I13" s="0" t="s">
        <x:v>23</x:v>
      </x:c>
      <x:c r="K13" s="8">
        <x:v>339.33</x:v>
      </x:c>
      <x:c r="L13" s="0" t="s">
        <x:v>24</x:v>
      </x:c>
      <x:c r="M13" s="0" t="s">
        <x:v>25</x:v>
      </x:c>
      <x:c r="N13" s="0" t="s">
        <x:v>26</x:v>
      </x:c>
      <x:c r="P13" s="0" t="s">
        <x:v>27</x:v>
      </x:c>
    </x:row>
    <x:row r="14" spans="1:20">
      <x:c r="A14" s="0">
        <x:v>13</x:v>
      </x:c>
      <x:c r="B14" s="0" t="s">
        <x:v>126</x:v>
      </x:c>
      <x:c r="C14" s="0" t="s">
        <x:v>21</x:v>
      </x:c>
      <x:c r="D14" s="0" t="s">
        <x:v>22</x:v>
      </x:c>
      <x:c r="E14" s="0">
        <x:v>1</x:v>
      </x:c>
      <x:c r="F14" s="0">
        <x:v>1</x:v>
      </x:c>
      <x:c r="G14" s="8">
        <x:v>174.51</x:v>
      </x:c>
      <x:c r="H14" s="8">
        <x:v>174.51</x:v>
      </x:c>
      <x:c r="I14" s="0" t="s">
        <x:v>23</x:v>
      </x:c>
      <x:c r="K14" s="8">
        <x:v>174.51</x:v>
      </x:c>
      <x:c r="L14" s="0" t="s">
        <x:v>24</x:v>
      </x:c>
      <x:c r="M14" s="0" t="s">
        <x:v>25</x:v>
      </x:c>
      <x:c r="N14" s="0" t="s">
        <x:v>26</x:v>
      </x:c>
      <x:c r="P14" s="0" t="s">
        <x:v>27</x:v>
      </x:c>
    </x:row>
    <x:row r="15" spans="1:20">
      <x:c r="A15" s="0">
        <x:v>14</x:v>
      </x:c>
      <x:c r="B15" s="0" t="s">
        <x:v>39</x:v>
      </x:c>
      <x:c r="C15" s="0" t="s">
        <x:v>21</x:v>
      </x:c>
      <x:c r="D15" s="0" t="s">
        <x:v>22</x:v>
      </x:c>
      <x:c r="E15" s="0">
        <x:v>1</x:v>
      </x:c>
      <x:c r="F15" s="0">
        <x:v>4</x:v>
      </x:c>
      <x:c r="G15" s="8">
        <x:v>218.6</x:v>
      </x:c>
      <x:c r="H15" s="8">
        <x:v>874.39</x:v>
      </x:c>
      <x:c r="I15" s="0" t="s">
        <x:v>23</x:v>
      </x:c>
      <x:c r="K15" s="8">
        <x:v>874.39</x:v>
      </x:c>
      <x:c r="L15" s="0" t="s">
        <x:v>24</x:v>
      </x:c>
      <x:c r="M15" s="0" t="s">
        <x:v>25</x:v>
      </x:c>
      <x:c r="N15" s="0" t="s">
        <x:v>26</x:v>
      </x:c>
      <x:c r="P15" s="0" t="s">
        <x:v>27</x:v>
      </x:c>
    </x:row>
    <x:row r="16" spans="1:20">
      <x:c r="A16" s="0">
        <x:v>15</x:v>
      </x:c>
      <x:c r="B16" s="0" t="s">
        <x:v>40</x:v>
      </x:c>
      <x:c r="C16" s="0" t="s">
        <x:v>21</x:v>
      </x:c>
      <x:c r="D16" s="0" t="s">
        <x:v>22</x:v>
      </x:c>
      <x:c r="E16" s="0">
        <x:v>1</x:v>
      </x:c>
      <x:c r="F16" s="0">
        <x:v>1</x:v>
      </x:c>
      <x:c r="G16" s="8">
        <x:v>279.03</x:v>
      </x:c>
      <x:c r="H16" s="8">
        <x:v>279.03</x:v>
      </x:c>
      <x:c r="I16" s="0" t="s">
        <x:v>23</x:v>
      </x:c>
      <x:c r="K16" s="8">
        <x:v>279.03</x:v>
      </x:c>
      <x:c r="L16" s="0" t="s">
        <x:v>24</x:v>
      </x:c>
      <x:c r="M16" s="0" t="s">
        <x:v>25</x:v>
      </x:c>
      <x:c r="N16" s="0" t="s">
        <x:v>26</x:v>
      </x:c>
      <x:c r="P16" s="0" t="s">
        <x:v>27</x:v>
      </x:c>
    </x:row>
    <x:row r="17" spans="1:20">
      <x:c r="A17" s="0">
        <x:v>16</x:v>
      </x:c>
      <x:c r="B17" s="0" t="s">
        <x:v>41</x:v>
      </x:c>
      <x:c r="C17" s="0" t="s">
        <x:v>21</x:v>
      </x:c>
      <x:c r="D17" s="0" t="s">
        <x:v>22</x:v>
      </x:c>
      <x:c r="E17" s="0">
        <x:v>1</x:v>
      </x:c>
      <x:c r="F17" s="0">
        <x:v>2</x:v>
      </x:c>
      <x:c r="G17" s="8">
        <x:v>300</x:v>
      </x:c>
      <x:c r="H17" s="8">
        <x:v>600</x:v>
      </x:c>
      <x:c r="I17" s="0" t="s">
        <x:v>23</x:v>
      </x:c>
      <x:c r="K17" s="8">
        <x:v>600</x:v>
      </x:c>
      <x:c r="L17" s="0" t="s">
        <x:v>24</x:v>
      </x:c>
      <x:c r="M17" s="0" t="s">
        <x:v>25</x:v>
      </x:c>
      <x:c r="N17" s="0" t="s">
        <x:v>26</x:v>
      </x:c>
      <x:c r="P17" s="0" t="s">
        <x:v>27</x:v>
      </x:c>
    </x:row>
    <x:row r="18" spans="1:20">
      <x:c r="A18" s="0">
        <x:v>17</x:v>
      </x:c>
      <x:c r="B18" s="0" t="s">
        <x:v>44</x:v>
      </x:c>
      <x:c r="C18" s="0" t="s">
        <x:v>21</x:v>
      </x:c>
      <x:c r="D18" s="0" t="s">
        <x:v>22</x:v>
      </x:c>
      <x:c r="E18" s="0">
        <x:v>1</x:v>
      </x:c>
      <x:c r="F18" s="0">
        <x:v>5</x:v>
      </x:c>
      <x:c r="G18" s="8">
        <x:v>74.8</x:v>
      </x:c>
      <x:c r="H18" s="8">
        <x:v>374</x:v>
      </x:c>
      <x:c r="I18" s="0" t="s">
        <x:v>23</x:v>
      </x:c>
      <x:c r="K18" s="8">
        <x:v>374</x:v>
      </x:c>
      <x:c r="L18" s="0" t="s">
        <x:v>24</x:v>
      </x:c>
      <x:c r="M18" s="0" t="s">
        <x:v>25</x:v>
      </x:c>
      <x:c r="N18" s="0" t="s">
        <x:v>26</x:v>
      </x:c>
      <x:c r="P18" s="0" t="s">
        <x:v>27</x:v>
      </x:c>
    </x:row>
    <x:row r="19" spans="1:20">
      <x:c r="A19" s="0">
        <x:v>18</x:v>
      </x:c>
      <x:c r="B19" s="0" t="s">
        <x:v>45</x:v>
      </x:c>
      <x:c r="C19" s="0" t="s">
        <x:v>21</x:v>
      </x:c>
      <x:c r="D19" s="0" t="s">
        <x:v>22</x:v>
      </x:c>
      <x:c r="E19" s="0">
        <x:v>1</x:v>
      </x:c>
      <x:c r="F19" s="0">
        <x:v>2</x:v>
      </x:c>
      <x:c r="G19" s="8">
        <x:v>50.88</x:v>
      </x:c>
      <x:c r="H19" s="8">
        <x:v>101.75</x:v>
      </x:c>
      <x:c r="I19" s="0" t="s">
        <x:v>23</x:v>
      </x:c>
      <x:c r="K19" s="8">
        <x:v>101.75</x:v>
      </x:c>
      <x:c r="L19" s="0" t="s">
        <x:v>24</x:v>
      </x:c>
      <x:c r="M19" s="0" t="s">
        <x:v>25</x:v>
      </x:c>
      <x:c r="N19" s="0" t="s">
        <x:v>26</x:v>
      </x:c>
      <x:c r="P19" s="0" t="s">
        <x:v>27</x:v>
      </x:c>
    </x:row>
    <x:row r="20" spans="1:20">
      <x:c r="A20" s="0">
        <x:v>19</x:v>
      </x:c>
      <x:c r="B20" s="0" t="s">
        <x:v>46</x:v>
      </x:c>
      <x:c r="C20" s="0" t="s">
        <x:v>21</x:v>
      </x:c>
      <x:c r="D20" s="0" t="s">
        <x:v>22</x:v>
      </x:c>
      <x:c r="E20" s="0">
        <x:v>1</x:v>
      </x:c>
      <x:c r="F20" s="0">
        <x:v>2</x:v>
      </x:c>
      <x:c r="G20" s="8">
        <x:v>135</x:v>
      </x:c>
      <x:c r="H20" s="8">
        <x:v>270</x:v>
      </x:c>
      <x:c r="I20" s="0" t="s">
        <x:v>23</x:v>
      </x:c>
      <x:c r="K20" s="8">
        <x:v>270</x:v>
      </x:c>
      <x:c r="L20" s="0" t="s">
        <x:v>24</x:v>
      </x:c>
      <x:c r="M20" s="0" t="s">
        <x:v>25</x:v>
      </x:c>
      <x:c r="N20" s="0" t="s">
        <x:v>26</x:v>
      </x:c>
      <x:c r="P20" s="0" t="s">
        <x:v>27</x:v>
      </x:c>
    </x:row>
    <x:row r="21" spans="1:20">
      <x:c r="A21" s="0">
        <x:v>20</x:v>
      </x:c>
      <x:c r="B21" s="0" t="s">
        <x:v>47</x:v>
      </x:c>
      <x:c r="C21" s="0" t="s">
        <x:v>21</x:v>
      </x:c>
      <x:c r="D21" s="0" t="s">
        <x:v>22</x:v>
      </x:c>
      <x:c r="E21" s="0">
        <x:v>1</x:v>
      </x:c>
      <x:c r="F21" s="0">
        <x:v>2</x:v>
      </x:c>
      <x:c r="G21" s="8">
        <x:v>270</x:v>
      </x:c>
      <x:c r="H21" s="8">
        <x:v>540</x:v>
      </x:c>
      <x:c r="I21" s="0" t="s">
        <x:v>23</x:v>
      </x:c>
      <x:c r="K21" s="8">
        <x:v>540</x:v>
      </x:c>
      <x:c r="L21" s="0" t="s">
        <x:v>24</x:v>
      </x:c>
      <x:c r="M21" s="0" t="s">
        <x:v>25</x:v>
      </x:c>
      <x:c r="N21" s="0" t="s">
        <x:v>26</x:v>
      </x:c>
      <x:c r="P21" s="0" t="s">
        <x:v>27</x:v>
      </x:c>
    </x:row>
    <x:row r="22" spans="1:20">
      <x:c r="A22" s="0">
        <x:v>21</x:v>
      </x:c>
      <x:c r="B22" s="0" t="s">
        <x:v>135</x:v>
      </x:c>
      <x:c r="C22" s="0" t="s">
        <x:v>21</x:v>
      </x:c>
      <x:c r="D22" s="0" t="s">
        <x:v>22</x:v>
      </x:c>
      <x:c r="E22" s="0">
        <x:v>1</x:v>
      </x:c>
      <x:c r="F22" s="0">
        <x:v>1</x:v>
      </x:c>
      <x:c r="G22" s="8">
        <x:v>150</x:v>
      </x:c>
      <x:c r="H22" s="8">
        <x:v>150</x:v>
      </x:c>
      <x:c r="I22" s="0" t="s">
        <x:v>23</x:v>
      </x:c>
      <x:c r="K22" s="8">
        <x:v>150</x:v>
      </x:c>
      <x:c r="L22" s="0" t="s">
        <x:v>24</x:v>
      </x:c>
      <x:c r="M22" s="0" t="s">
        <x:v>25</x:v>
      </x:c>
      <x:c r="N22" s="0" t="s">
        <x:v>26</x:v>
      </x:c>
      <x:c r="P22" s="0" t="s">
        <x:v>27</x:v>
      </x:c>
    </x:row>
    <x:row r="23" spans="1:20">
      <x:c r="A23" s="0">
        <x:v>22</x:v>
      </x:c>
      <x:c r="B23" s="0" t="s">
        <x:v>71</x:v>
      </x:c>
      <x:c r="C23" s="0" t="s">
        <x:v>21</x:v>
      </x:c>
      <x:c r="D23" s="0" t="s">
        <x:v>22</x:v>
      </x:c>
      <x:c r="E23" s="0">
        <x:v>1</x:v>
      </x:c>
      <x:c r="F23" s="0">
        <x:v>2</x:v>
      </x:c>
      <x:c r="G23" s="8">
        <x:v>94.12</x:v>
      </x:c>
      <x:c r="H23" s="8">
        <x:v>188.24</x:v>
      </x:c>
      <x:c r="I23" s="0" t="s">
        <x:v>23</x:v>
      </x:c>
      <x:c r="K23" s="8">
        <x:v>188.24</x:v>
      </x:c>
      <x:c r="L23" s="0" t="s">
        <x:v>24</x:v>
      </x:c>
      <x:c r="M23" s="0" t="s">
        <x:v>25</x:v>
      </x:c>
      <x:c r="N23" s="0" t="s">
        <x:v>26</x:v>
      </x:c>
      <x:c r="P23" s="0" t="s">
        <x:v>27</x:v>
      </x:c>
    </x:row>
    <x:row r="24" spans="1:20">
      <x:c r="A24" s="0">
        <x:v>23</x:v>
      </x:c>
      <x:c r="B24" s="0" t="s">
        <x:v>109</x:v>
      </x:c>
      <x:c r="C24" s="0" t="s">
        <x:v>21</x:v>
      </x:c>
      <x:c r="D24" s="0" t="s">
        <x:v>22</x:v>
      </x:c>
      <x:c r="E24" s="0">
        <x:v>1</x:v>
      </x:c>
      <x:c r="F24" s="0">
        <x:v>3</x:v>
      </x:c>
      <x:c r="G24" s="8">
        <x:v>88</x:v>
      </x:c>
      <x:c r="H24" s="8">
        <x:v>264</x:v>
      </x:c>
      <x:c r="I24" s="0" t="s">
        <x:v>23</x:v>
      </x:c>
      <x:c r="K24" s="8">
        <x:v>264</x:v>
      </x:c>
      <x:c r="L24" s="0" t="s">
        <x:v>24</x:v>
      </x:c>
      <x:c r="M24" s="0" t="s">
        <x:v>25</x:v>
      </x:c>
      <x:c r="N24" s="0" t="s">
        <x:v>26</x:v>
      </x:c>
      <x:c r="P24" s="0" t="s">
        <x:v>27</x:v>
      </x:c>
    </x:row>
    <x:row r="25" spans="1:20">
      <x:c r="A25" s="0">
        <x:v>24</x:v>
      </x:c>
      <x:c r="B25" s="0" t="s">
        <x:v>50</x:v>
      </x:c>
      <x:c r="C25" s="0" t="s">
        <x:v>21</x:v>
      </x:c>
      <x:c r="D25" s="0" t="s">
        <x:v>22</x:v>
      </x:c>
      <x:c r="E25" s="0">
        <x:v>1</x:v>
      </x:c>
      <x:c r="F25" s="0">
        <x:v>1</x:v>
      </x:c>
      <x:c r="G25" s="8">
        <x:v>136.03</x:v>
      </x:c>
      <x:c r="H25" s="8">
        <x:v>136.03</x:v>
      </x:c>
      <x:c r="I25" s="0" t="s">
        <x:v>23</x:v>
      </x:c>
      <x:c r="K25" s="8">
        <x:v>136.03</x:v>
      </x:c>
      <x:c r="L25" s="0" t="s">
        <x:v>24</x:v>
      </x:c>
      <x:c r="M25" s="0" t="s">
        <x:v>25</x:v>
      </x:c>
      <x:c r="N25" s="0" t="s">
        <x:v>26</x:v>
      </x:c>
      <x:c r="P25" s="0" t="s">
        <x:v>27</x:v>
      </x:c>
    </x:row>
    <x:row r="26" spans="1:20">
      <x:c r="A26" s="0">
        <x:v>25</x:v>
      </x:c>
      <x:c r="B26" s="0" t="s">
        <x:v>51</x:v>
      </x:c>
      <x:c r="C26" s="0" t="s">
        <x:v>21</x:v>
      </x:c>
      <x:c r="D26" s="0" t="s">
        <x:v>22</x:v>
      </x:c>
      <x:c r="E26" s="0">
        <x:v>1</x:v>
      </x:c>
      <x:c r="F26" s="0">
        <x:v>4</x:v>
      </x:c>
      <x:c r="G26" s="8">
        <x:v>52</x:v>
      </x:c>
      <x:c r="H26" s="8">
        <x:v>208.01</x:v>
      </x:c>
      <x:c r="I26" s="0" t="s">
        <x:v>23</x:v>
      </x:c>
      <x:c r="K26" s="8">
        <x:v>208.01</x:v>
      </x:c>
      <x:c r="L26" s="0" t="s">
        <x:v>24</x:v>
      </x:c>
      <x:c r="M26" s="0" t="s">
        <x:v>25</x:v>
      </x:c>
      <x:c r="N26" s="0" t="s">
        <x:v>26</x:v>
      </x:c>
      <x:c r="P26" s="0" t="s">
        <x:v>27</x:v>
      </x:c>
    </x:row>
    <x:row r="27" spans="1:20">
      <x:c r="A27" s="0">
        <x:v>26</x:v>
      </x:c>
      <x:c r="B27" s="0" t="s">
        <x:v>137</x:v>
      </x:c>
      <x:c r="C27" s="0" t="s">
        <x:v>21</x:v>
      </x:c>
      <x:c r="D27" s="0" t="s">
        <x:v>22</x:v>
      </x:c>
      <x:c r="E27" s="0">
        <x:v>1</x:v>
      </x:c>
      <x:c r="F27" s="0">
        <x:v>2</x:v>
      </x:c>
      <x:c r="G27" s="8">
        <x:v>231</x:v>
      </x:c>
      <x:c r="H27" s="8">
        <x:v>462</x:v>
      </x:c>
      <x:c r="I27" s="0" t="s">
        <x:v>23</x:v>
      </x:c>
      <x:c r="K27" s="8">
        <x:v>462</x:v>
      </x:c>
      <x:c r="L27" s="0" t="s">
        <x:v>24</x:v>
      </x:c>
      <x:c r="M27" s="0" t="s">
        <x:v>25</x:v>
      </x:c>
      <x:c r="N27" s="0" t="s">
        <x:v>26</x:v>
      </x:c>
      <x:c r="P27" s="0" t="s">
        <x:v>27</x:v>
      </x:c>
    </x:row>
    <x:row r="28" spans="1:20">
      <x:c r="A28" s="0">
        <x:v>27</x:v>
      </x:c>
      <x:c r="B28" s="0" t="s">
        <x:v>54</x:v>
      </x:c>
      <x:c r="C28" s="0" t="s">
        <x:v>21</x:v>
      </x:c>
      <x:c r="D28" s="0" t="s">
        <x:v>22</x:v>
      </x:c>
      <x:c r="E28" s="0">
        <x:v>1</x:v>
      </x:c>
      <x:c r="F28" s="0">
        <x:v>1</x:v>
      </x:c>
      <x:c r="G28" s="8">
        <x:v>230</x:v>
      </x:c>
      <x:c r="H28" s="8">
        <x:v>230</x:v>
      </x:c>
      <x:c r="I28" s="0" t="s">
        <x:v>23</x:v>
      </x:c>
      <x:c r="K28" s="8">
        <x:v>230</x:v>
      </x:c>
      <x:c r="L28" s="0" t="s">
        <x:v>24</x:v>
      </x:c>
      <x:c r="M28" s="0" t="s">
        <x:v>25</x:v>
      </x:c>
      <x:c r="N28" s="0" t="s">
        <x:v>26</x:v>
      </x:c>
      <x:c r="P28" s="0" t="s">
        <x:v>27</x:v>
      </x:c>
    </x:row>
    <x:row r="29" spans="1:20">
      <x:c r="A29" s="0">
        <x:v>28</x:v>
      </x:c>
      <x:c r="B29" s="0" t="s">
        <x:v>55</x:v>
      </x:c>
      <x:c r="C29" s="0" t="s">
        <x:v>21</x:v>
      </x:c>
      <x:c r="D29" s="0" t="s">
        <x:v>22</x:v>
      </x:c>
      <x:c r="E29" s="0">
        <x:v>1</x:v>
      </x:c>
      <x:c r="F29" s="0">
        <x:v>2</x:v>
      </x:c>
      <x:c r="G29" s="8">
        <x:v>346</x:v>
      </x:c>
      <x:c r="H29" s="8">
        <x:v>692</x:v>
      </x:c>
      <x:c r="I29" s="0" t="s">
        <x:v>23</x:v>
      </x:c>
      <x:c r="K29" s="8">
        <x:v>692</x:v>
      </x:c>
      <x:c r="L29" s="0" t="s">
        <x:v>24</x:v>
      </x:c>
      <x:c r="M29" s="0" t="s">
        <x:v>25</x:v>
      </x:c>
      <x:c r="N29" s="0" t="s">
        <x:v>26</x:v>
      </x:c>
      <x:c r="P29" s="0" t="s">
        <x:v>27</x:v>
      </x:c>
    </x:row>
    <x:row r="30" spans="1:20">
      <x:c r="A30" s="0">
        <x:v>29</x:v>
      </x:c>
      <x:c r="B30" s="0" t="s">
        <x:v>57</x:v>
      </x:c>
      <x:c r="C30" s="0" t="s">
        <x:v>21</x:v>
      </x:c>
      <x:c r="D30" s="0" t="s">
        <x:v>22</x:v>
      </x:c>
      <x:c r="E30" s="0">
        <x:v>1</x:v>
      </x:c>
      <x:c r="F30" s="0">
        <x:v>3</x:v>
      </x:c>
      <x:c r="G30" s="8">
        <x:v>127.79</x:v>
      </x:c>
      <x:c r="H30" s="8">
        <x:v>383.37</x:v>
      </x:c>
      <x:c r="I30" s="0" t="s">
        <x:v>23</x:v>
      </x:c>
      <x:c r="K30" s="8">
        <x:v>383.37</x:v>
      </x:c>
      <x:c r="L30" s="0" t="s">
        <x:v>24</x:v>
      </x:c>
      <x:c r="M30" s="0" t="s">
        <x:v>25</x:v>
      </x:c>
      <x:c r="N30" s="0" t="s">
        <x:v>26</x:v>
      </x:c>
      <x:c r="P30" s="0" t="s">
        <x:v>27</x:v>
      </x:c>
    </x:row>
    <x:row r="31" spans="1:20">
      <x:c r="A31" s="0">
        <x:v>30</x:v>
      </x:c>
      <x:c r="B31" s="0" t="s">
        <x:v>58</x:v>
      </x:c>
      <x:c r="C31" s="0" t="s">
        <x:v>21</x:v>
      </x:c>
      <x:c r="D31" s="0" t="s">
        <x:v>22</x:v>
      </x:c>
      <x:c r="E31" s="0">
        <x:v>1</x:v>
      </x:c>
      <x:c r="F31" s="0">
        <x:v>3</x:v>
      </x:c>
      <x:c r="G31" s="8">
        <x:v>247.87</x:v>
      </x:c>
      <x:c r="H31" s="8">
        <x:v>743.6</x:v>
      </x:c>
      <x:c r="I31" s="0" t="s">
        <x:v>23</x:v>
      </x:c>
      <x:c r="K31" s="8">
        <x:v>743.6</x:v>
      </x:c>
      <x:c r="L31" s="0" t="s">
        <x:v>24</x:v>
      </x:c>
      <x:c r="M31" s="0" t="s">
        <x:v>25</x:v>
      </x:c>
      <x:c r="N31" s="0" t="s">
        <x:v>26</x:v>
      </x:c>
      <x:c r="P31" s="0" t="s">
        <x:v>27</x:v>
      </x:c>
    </x:row>
    <x:row r="32" spans="1:20">
      <x:c r="A32" s="0">
        <x:v>31</x:v>
      </x:c>
      <x:c r="B32" s="0" t="s">
        <x:v>60</x:v>
      </x:c>
      <x:c r="C32" s="0" t="s">
        <x:v>21</x:v>
      </x:c>
      <x:c r="D32" s="0" t="s">
        <x:v>22</x:v>
      </x:c>
      <x:c r="E32" s="0">
        <x:v>1</x:v>
      </x:c>
      <x:c r="F32" s="0">
        <x:v>2</x:v>
      </x:c>
      <x:c r="G32" s="8">
        <x:v>144.5</x:v>
      </x:c>
      <x:c r="H32" s="8">
        <x:v>289</x:v>
      </x:c>
      <x:c r="I32" s="0" t="s">
        <x:v>23</x:v>
      </x:c>
      <x:c r="K32" s="8">
        <x:v>289</x:v>
      </x:c>
      <x:c r="L32" s="0" t="s">
        <x:v>24</x:v>
      </x:c>
      <x:c r="M32" s="0" t="s">
        <x:v>25</x:v>
      </x:c>
      <x:c r="N32" s="0" t="s">
        <x:v>26</x:v>
      </x:c>
      <x:c r="P32" s="0" t="s">
        <x:v>27</x:v>
      </x:c>
    </x:row>
    <x:row r="33" spans="1:20">
      <x:c r="A33" s="0">
        <x:v>32</x:v>
      </x:c>
      <x:c r="B33" s="0" t="s">
        <x:v>138</x:v>
      </x:c>
      <x:c r="C33" s="0" t="s">
        <x:v>21</x:v>
      </x:c>
      <x:c r="D33" s="0" t="s">
        <x:v>22</x:v>
      </x:c>
      <x:c r="E33" s="0">
        <x:v>1</x:v>
      </x:c>
      <x:c r="F33" s="0">
        <x:v>1</x:v>
      </x:c>
      <x:c r="G33" s="8">
        <x:v>220</x:v>
      </x:c>
      <x:c r="H33" s="8">
        <x:v>220</x:v>
      </x:c>
      <x:c r="I33" s="0" t="s">
        <x:v>23</x:v>
      </x:c>
      <x:c r="K33" s="8">
        <x:v>220</x:v>
      </x:c>
      <x:c r="L33" s="0" t="s">
        <x:v>24</x:v>
      </x:c>
      <x:c r="M33" s="0" t="s">
        <x:v>25</x:v>
      </x:c>
      <x:c r="N33" s="0" t="s">
        <x:v>26</x:v>
      </x:c>
      <x:c r="P33" s="0" t="s">
        <x:v>27</x:v>
      </x:c>
    </x:row>
    <x:row r="34" spans="1:20">
      <x:c r="H34" s="18">
        <x:f>SUM(H2:H33)</x:f>
      </x:c>
    </x:row>
    <x:row r="36" spans="1:20">
      <x:c r="B36" s="19" t="s">
        <x:v>163</x:v>
      </x:c>
      <x:c r="C36" s="20"/>
      <x:c r="D36" s="20"/>
      <x:c r="E36" s="20"/>
      <x:c r="F36" s="20"/>
      <x:c r="G36" s="20"/>
      <x:c r="H36" s="21">
        <x:f>SUM(H37:H39)</x:f>
      </x:c>
      <x:c r="I36" s="22" t="s">
        <x:v>164</x:v>
      </x:c>
    </x:row>
    <x:row r="37" spans="1:20">
      <x:c r="B37" s="21" t="s">
        <x:v>165</x:v>
      </x:c>
      <x:c r="C37" s="21"/>
      <x:c r="D37" s="21"/>
      <x:c r="E37" s="21"/>
      <x:c r="F37" s="20">
        <x:f>F2+F3+F5+F6+F12+F13+F15+F16+F17+F21+F22+F23+F27+F30+F31+F32+F33</x:f>
      </x:c>
      <x:c r="G37" s="20">
        <x:f>G2+G3+G5+G6+G12+G13+G15+G16+G17+G21+G22+G23+G27+G30+G31+G32+G33</x:f>
      </x:c>
      <x:c r="H37" s="20">
        <x:f>H2+H3+H5+H6+H12+H13+H15+H16+H17+H21+H22+H23+H27+H30+H31+H32+H33</x:f>
      </x:c>
      <x:c r="I37" s="15"/>
    </x:row>
    <x:row r="38" spans="1:20">
      <x:c r="B38" s="21" t="s">
        <x:v>166</x:v>
      </x:c>
      <x:c r="C38" s="21"/>
      <x:c r="D38" s="21"/>
      <x:c r="E38" s="21"/>
      <x:c r="F38" s="20"/>
      <x:c r="G38" s="20"/>
      <x:c r="H38" s="20"/>
      <x:c r="I38" s="15"/>
    </x:row>
    <x:row r="39" spans="1:20">
      <x:c r="B39" s="21" t="s">
        <x:v>167</x:v>
      </x:c>
      <x:c r="C39" s="21"/>
      <x:c r="D39" s="21"/>
      <x:c r="E39" s="21"/>
      <x:c r="F39" s="20">
        <x:f>F7+F26</x:f>
      </x:c>
      <x:c r="G39" s="20">
        <x:f>G7+G26</x:f>
      </x:c>
      <x:c r="H39" s="20">
        <x:f>H7+H26</x:f>
      </x:c>
      <x:c r="I39" s="15"/>
    </x:row>
    <x:row r="40" spans="1:20">
      <x:c r="B40" s="19" t="s">
        <x:v>168</x:v>
      </x:c>
      <x:c r="C40" s="20"/>
      <x:c r="D40" s="20"/>
      <x:c r="E40" s="20"/>
      <x:c r="F40" s="20"/>
      <x:c r="G40" s="20"/>
      <x:c r="H40" s="21">
        <x:f>SUM(H41:H47)</x:f>
      </x:c>
      <x:c r="I40" s="22" t="s">
        <x:v>169</x:v>
      </x:c>
    </x:row>
    <x:row r="41" spans="1:20">
      <x:c r="B41" s="21" t="s">
        <x:v>170</x:v>
      </x:c>
      <x:c r="C41" s="21"/>
      <x:c r="D41" s="21"/>
      <x:c r="E41" s="21"/>
      <x:c r="F41" s="20">
        <x:f>F9+F10+F11</x:f>
      </x:c>
      <x:c r="G41" s="20">
        <x:f>G9+G10+G11</x:f>
      </x:c>
      <x:c r="H41" s="20">
        <x:f>H9+H10+H11</x:f>
      </x:c>
      <x:c r="I41" s="15"/>
    </x:row>
    <x:row r="42" spans="1:20">
      <x:c r="B42" s="21" t="s">
        <x:v>171</x:v>
      </x:c>
      <x:c r="C42" s="21"/>
      <x:c r="D42" s="21"/>
      <x:c r="E42" s="21"/>
      <x:c r="F42" s="20"/>
      <x:c r="G42" s="20"/>
      <x:c r="H42" s="20"/>
      <x:c r="I42" s="15"/>
    </x:row>
    <x:row r="43" spans="1:20">
      <x:c r="B43" s="21" t="s">
        <x:v>172</x:v>
      </x:c>
      <x:c r="C43" s="21"/>
      <x:c r="D43" s="21"/>
      <x:c r="E43" s="21"/>
      <x:c r="F43" s="20">
        <x:f>F4+F8</x:f>
      </x:c>
      <x:c r="G43" s="20">
        <x:f>G4+G8</x:f>
      </x:c>
      <x:c r="H43" s="20">
        <x:f>H4+H8</x:f>
      </x:c>
      <x:c r="I43" s="15"/>
    </x:row>
    <x:row r="44" spans="1:20">
      <x:c r="B44" s="21" t="s">
        <x:v>173</x:v>
      </x:c>
      <x:c r="C44" s="21"/>
      <x:c r="D44" s="21"/>
      <x:c r="E44" s="21"/>
      <x:c r="F44" s="20"/>
      <x:c r="G44" s="20"/>
      <x:c r="H44" s="20"/>
      <x:c r="I44" s="15"/>
    </x:row>
    <x:row r="45" spans="1:20">
      <x:c r="B45" s="21" t="s">
        <x:v>174</x:v>
      </x:c>
      <x:c r="C45" s="21"/>
      <x:c r="D45" s="21"/>
      <x:c r="E45" s="21"/>
      <x:c r="F45" s="20">
        <x:f>F24</x:f>
      </x:c>
      <x:c r="G45" s="20">
        <x:f>G24</x:f>
      </x:c>
      <x:c r="H45" s="20">
        <x:f>H24</x:f>
      </x:c>
      <x:c r="I45" s="15"/>
    </x:row>
    <x:row r="46" spans="1:20">
      <x:c r="B46" s="21" t="s">
        <x:v>70</x:v>
      </x:c>
      <x:c r="C46" s="21"/>
      <x:c r="D46" s="21"/>
      <x:c r="E46" s="21"/>
      <x:c r="F46" s="20"/>
      <x:c r="G46" s="20"/>
      <x:c r="H46" s="20"/>
      <x:c r="I46" s="15"/>
    </x:row>
    <x:row r="47" spans="1:20">
      <x:c r="B47" s="21" t="s">
        <x:v>175</x:v>
      </x:c>
      <x:c r="C47" s="21"/>
      <x:c r="D47" s="21"/>
      <x:c r="E47" s="21"/>
      <x:c r="F47" s="20"/>
      <x:c r="G47" s="20"/>
      <x:c r="H47" s="20"/>
      <x:c r="I47" s="15"/>
    </x:row>
    <x:row r="48" spans="1:20">
      <x:c r="B48" s="19" t="s">
        <x:v>176</x:v>
      </x:c>
      <x:c r="C48" s="20"/>
      <x:c r="D48" s="20"/>
      <x:c r="E48" s="20"/>
      <x:c r="F48" s="20"/>
      <x:c r="G48" s="20"/>
      <x:c r="H48" s="21">
        <x:f>SUM(H49:H54)</x:f>
      </x:c>
      <x:c r="I48" s="22" t="s">
        <x:v>177</x:v>
      </x:c>
    </x:row>
    <x:row r="49" spans="1:20">
      <x:c r="B49" s="21" t="s">
        <x:v>178</x:v>
      </x:c>
      <x:c r="C49" s="21"/>
      <x:c r="D49" s="21"/>
      <x:c r="E49" s="21"/>
      <x:c r="F49" s="20"/>
      <x:c r="G49" s="20"/>
      <x:c r="H49" s="20"/>
      <x:c r="I49" s="15"/>
    </x:row>
    <x:row r="50" spans="1:20">
      <x:c r="B50" s="21" t="s">
        <x:v>179</x:v>
      </x:c>
      <x:c r="C50" s="21"/>
      <x:c r="D50" s="21"/>
      <x:c r="E50" s="21"/>
      <x:c r="F50" s="20">
        <x:f>F29</x:f>
      </x:c>
      <x:c r="G50" s="20">
        <x:f>G29</x:f>
      </x:c>
      <x:c r="H50" s="20">
        <x:f>H29</x:f>
      </x:c>
      <x:c r="I50" s="15"/>
    </x:row>
    <x:row r="51" spans="1:20">
      <x:c r="B51" s="21" t="s">
        <x:v>54</x:v>
      </x:c>
      <x:c r="C51" s="21"/>
      <x:c r="D51" s="21"/>
      <x:c r="E51" s="21"/>
      <x:c r="F51" s="20">
        <x:f>F28</x:f>
      </x:c>
      <x:c r="G51" s="20">
        <x:f>G28</x:f>
      </x:c>
      <x:c r="H51" s="20">
        <x:f>H28</x:f>
      </x:c>
      <x:c r="I51" s="15"/>
    </x:row>
    <x:row r="52" spans="1:20">
      <x:c r="B52" s="21" t="s">
        <x:v>180</x:v>
      </x:c>
      <x:c r="C52" s="21"/>
      <x:c r="D52" s="21"/>
      <x:c r="E52" s="21"/>
      <x:c r="F52" s="20">
        <x:f>F14</x:f>
      </x:c>
      <x:c r="G52" s="20">
        <x:f>G14</x:f>
      </x:c>
      <x:c r="H52" s="20">
        <x:f>H14</x:f>
      </x:c>
      <x:c r="I52" s="15"/>
    </x:row>
    <x:row r="53" spans="1:20">
      <x:c r="B53" s="21" t="s">
        <x:v>181</x:v>
      </x:c>
      <x:c r="C53" s="21"/>
      <x:c r="D53" s="21"/>
      <x:c r="E53" s="21"/>
      <x:c r="F53" s="20">
        <x:f>F19+F20+F25</x:f>
      </x:c>
      <x:c r="G53" s="20">
        <x:f>G19+G20+G25</x:f>
      </x:c>
      <x:c r="H53" s="20">
        <x:f>H19+H20+H25</x:f>
      </x:c>
      <x:c r="I53" s="15"/>
    </x:row>
    <x:row r="54" spans="1:20">
      <x:c r="B54" s="21" t="s">
        <x:v>182</x:v>
      </x:c>
      <x:c r="C54" s="21"/>
      <x:c r="D54" s="21"/>
      <x:c r="E54" s="21"/>
      <x:c r="F54" s="20">
        <x:f>F18</x:f>
      </x:c>
      <x:c r="G54" s="20">
        <x:f>G18</x:f>
      </x:c>
      <x:c r="H54" s="20">
        <x:f>H18</x:f>
      </x:c>
      <x:c r="I54" s="15"/>
    </x:row>
    <x:row r="55" spans="1:20">
      <x:c r="B55" s="19" t="s">
        <x:v>183</x:v>
      </x:c>
      <x:c r="C55" s="20"/>
      <x:c r="D55" s="20"/>
      <x:c r="E55" s="20"/>
      <x:c r="F55" s="20"/>
      <x:c r="G55" s="20"/>
      <x:c r="H55" s="21">
        <x:f>SUM(H56:H57)</x:f>
      </x:c>
      <x:c r="I55" s="22"/>
    </x:row>
    <x:row r="56" spans="1:20">
      <x:c r="B56" s="21" t="s">
        <x:v>184</x:v>
      </x:c>
      <x:c r="C56" s="21"/>
      <x:c r="D56" s="21"/>
      <x:c r="E56" s="21"/>
      <x:c r="F56" s="20"/>
      <x:c r="G56" s="20"/>
      <x:c r="H56" s="20"/>
      <x:c r="I56" s="15"/>
    </x:row>
    <x:row r="57" spans="1:20">
      <x:c r="B57" s="21" t="s">
        <x:v>185</x:v>
      </x:c>
      <x:c r="C57" s="21"/>
      <x:c r="D57" s="21"/>
      <x:c r="E57" s="21"/>
      <x:c r="F57" s="20"/>
      <x:c r="G57" s="20"/>
      <x:c r="H57" s="20"/>
      <x:c r="I57" s="15"/>
    </x:row>
    <x:row r="58" spans="1:20">
      <x:c r="B58" s="22"/>
      <x:c r="C58" s="22"/>
      <x:c r="D58" s="22"/>
      <x:c r="E58" s="22"/>
      <x:c r="F58" s="15"/>
      <x:c r="G58" s="15"/>
      <x:c r="H58" s="22">
        <x:f>H36+H40+H48+H55</x:f>
      </x:c>
      <x:c r="I58" s="15"/>
    </x:row>
    <x:row r="59" spans="1:20">
      <x:c r="H59" s="17">
        <x:f>H58 - H34</x:f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FB7F3DC-DBB9-614C-A387-96CCA74C6BC1}" mc:Ignorable="x14ac xr xr2 xr3">
  <x:sheetPr>
    <x:outlinePr summaryBelow="1" summaryRight="1"/>
  </x:sheetPr>
  <x:dimension ref="A1:T29"/>
  <x:sheetViews>
    <x:sheetView topLeftCell="A33" zoomScale="111" zoomScaleNormal="111" workbookViewId="0">
      <x:selection activeCell="A30" sqref="A30 A30:I56"/>
    </x:sheetView>
  </x:sheetViews>
  <x:sheetFormatPr defaultColWidth="11.210625" defaultRowHeight="15.75"/>
  <x:cols>
    <x:col min="1" max="1" width="11.210625" style="0" customWidth="1"/>
    <x:col min="2" max="2" width="34.5" style="0" customWidth="1"/>
    <x:col min="3" max="3" width="2.875" style="0" customWidth="1"/>
    <x:col min="4" max="4" width="2.625" style="0" customWidth="1"/>
    <x:col min="5" max="5" width="2.375" style="0" customWidth="1"/>
  </x:cols>
  <x:sheetData>
    <x:row r="1" spans="1:2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</x:row>
    <x:row r="2" spans="1:20">
      <x:c r="A2" s="0">
        <x:v>1</x:v>
      </x:c>
      <x:c r="B2" s="0" t="s">
        <x:v>29</x:v>
      </x:c>
      <x:c r="C2" s="0" t="s">
        <x:v>21</x:v>
      </x:c>
      <x:c r="D2" s="0" t="s">
        <x:v>22</x:v>
      </x:c>
      <x:c r="E2" s="0">
        <x:v>1</x:v>
      </x:c>
      <x:c r="F2" s="0">
        <x:v>4</x:v>
      </x:c>
      <x:c r="G2" s="8">
        <x:v>221.88</x:v>
      </x:c>
      <x:c r="H2" s="8">
        <x:v>887.5</x:v>
      </x:c>
      <x:c r="I2" s="0" t="s">
        <x:v>23</x:v>
      </x:c>
      <x:c r="K2" s="8">
        <x:v>887.5</x:v>
      </x:c>
      <x:c r="L2" s="0" t="s">
        <x:v>24</x:v>
      </x:c>
      <x:c r="M2" s="0" t="s">
        <x:v>25</x:v>
      </x:c>
      <x:c r="N2" s="0" t="s">
        <x:v>26</x:v>
      </x:c>
      <x:c r="P2" s="0" t="s">
        <x:v>27</x:v>
      </x:c>
    </x:row>
    <x:row r="3" spans="1:20">
      <x:c r="A3" s="0">
        <x:v>2</x:v>
      </x:c>
      <x:c r="B3" s="0" t="s">
        <x:v>30</x:v>
      </x:c>
      <x:c r="C3" s="0" t="s">
        <x:v>21</x:v>
      </x:c>
      <x:c r="D3" s="0" t="s">
        <x:v>22</x:v>
      </x:c>
      <x:c r="E3" s="0">
        <x:v>1</x:v>
      </x:c>
      <x:c r="F3" s="0">
        <x:v>8</x:v>
      </x:c>
      <x:c r="G3" s="8">
        <x:v>298.63</x:v>
      </x:c>
      <x:c r="H3" s="8">
        <x:v>2389.05</x:v>
      </x:c>
      <x:c r="I3" s="0" t="s">
        <x:v>23</x:v>
      </x:c>
      <x:c r="K3" s="8">
        <x:v>2389.05</x:v>
      </x:c>
      <x:c r="L3" s="0" t="s">
        <x:v>24</x:v>
      </x:c>
      <x:c r="M3" s="0" t="s">
        <x:v>25</x:v>
      </x:c>
      <x:c r="N3" s="0" t="s">
        <x:v>26</x:v>
      </x:c>
      <x:c r="P3" s="0" t="s">
        <x:v>27</x:v>
      </x:c>
    </x:row>
    <x:row r="4" spans="1:20">
      <x:c r="A4" s="0">
        <x:v>3</x:v>
      </x:c>
      <x:c r="B4" s="0" t="s">
        <x:v>31</x:v>
      </x:c>
      <x:c r="C4" s="0" t="s">
        <x:v>21</x:v>
      </x:c>
      <x:c r="D4" s="0" t="s">
        <x:v>22</x:v>
      </x:c>
      <x:c r="E4" s="0">
        <x:v>1</x:v>
      </x:c>
      <x:c r="F4" s="0">
        <x:v>3</x:v>
      </x:c>
      <x:c r="G4" s="8">
        <x:v>74.65</x:v>
      </x:c>
      <x:c r="H4" s="8">
        <x:v>223.95</x:v>
      </x:c>
      <x:c r="I4" s="0" t="s">
        <x:v>23</x:v>
      </x:c>
      <x:c r="K4" s="8">
        <x:v>223.95</x:v>
      </x:c>
      <x:c r="L4" s="0" t="s">
        <x:v>24</x:v>
      </x:c>
      <x:c r="M4" s="0" t="s">
        <x:v>25</x:v>
      </x:c>
      <x:c r="N4" s="0" t="s">
        <x:v>26</x:v>
      </x:c>
      <x:c r="P4" s="0" t="s">
        <x:v>27</x:v>
      </x:c>
    </x:row>
    <x:row r="5" spans="1:20">
      <x:c r="A5" s="0">
        <x:v>4</x:v>
      </x:c>
      <x:c r="B5" s="0" t="s">
        <x:v>79</x:v>
      </x:c>
      <x:c r="C5" s="0" t="s">
        <x:v>21</x:v>
      </x:c>
      <x:c r="D5" s="0" t="s">
        <x:v>34</x:v>
      </x:c>
      <x:c r="E5" s="0">
        <x:v>1</x:v>
      </x:c>
      <x:c r="F5" s="0">
        <x:v>0.1</x:v>
      </x:c>
      <x:c r="G5" s="8">
        <x:v>2180</x:v>
      </x:c>
      <x:c r="H5" s="8">
        <x:v>218</x:v>
      </x:c>
      <x:c r="I5" s="0" t="s">
        <x:v>23</x:v>
      </x:c>
      <x:c r="K5" s="8">
        <x:v>218</x:v>
      </x:c>
      <x:c r="L5" s="0" t="s">
        <x:v>24</x:v>
      </x:c>
      <x:c r="M5" s="0" t="s">
        <x:v>25</x:v>
      </x:c>
      <x:c r="N5" s="0" t="s">
        <x:v>26</x:v>
      </x:c>
      <x:c r="P5" s="0" t="s">
        <x:v>27</x:v>
      </x:c>
    </x:row>
    <x:row r="6" spans="1:20">
      <x:c r="A6" s="0">
        <x:v>5</x:v>
      </x:c>
      <x:c r="B6" s="0" t="s">
        <x:v>82</x:v>
      </x:c>
      <x:c r="C6" s="0" t="s">
        <x:v>21</x:v>
      </x:c>
      <x:c r="D6" s="0" t="s">
        <x:v>34</x:v>
      </x:c>
      <x:c r="E6" s="0">
        <x:v>1</x:v>
      </x:c>
      <x:c r="F6" s="0">
        <x:v>0.1</x:v>
      </x:c>
      <x:c r="G6" s="8">
        <x:v>4830</x:v>
      </x:c>
      <x:c r="H6" s="8">
        <x:v>483</x:v>
      </x:c>
      <x:c r="I6" s="0" t="s">
        <x:v>23</x:v>
      </x:c>
      <x:c r="K6" s="8">
        <x:v>483</x:v>
      </x:c>
      <x:c r="L6" s="0" t="s">
        <x:v>24</x:v>
      </x:c>
      <x:c r="M6" s="0" t="s">
        <x:v>25</x:v>
      </x:c>
      <x:c r="N6" s="0" t="s">
        <x:v>26</x:v>
      </x:c>
      <x:c r="P6" s="0" t="s">
        <x:v>27</x:v>
      </x:c>
    </x:row>
    <x:row r="7" spans="1:20">
      <x:c r="A7" s="0">
        <x:v>6</x:v>
      </x:c>
      <x:c r="B7" s="0" t="s">
        <x:v>93</x:v>
      </x:c>
      <x:c r="C7" s="0" t="s">
        <x:v>21</x:v>
      </x:c>
      <x:c r="D7" s="0" t="s">
        <x:v>34</x:v>
      </x:c>
      <x:c r="E7" s="0">
        <x:v>1</x:v>
      </x:c>
      <x:c r="F7" s="0">
        <x:v>0.1</x:v>
      </x:c>
      <x:c r="G7" s="8">
        <x:v>3480</x:v>
      </x:c>
      <x:c r="H7" s="8">
        <x:v>348</x:v>
      </x:c>
      <x:c r="I7" s="0" t="s">
        <x:v>23</x:v>
      </x:c>
      <x:c r="K7" s="8">
        <x:v>348</x:v>
      </x:c>
      <x:c r="L7" s="0" t="s">
        <x:v>24</x:v>
      </x:c>
      <x:c r="M7" s="0" t="s">
        <x:v>25</x:v>
      </x:c>
      <x:c r="N7" s="0" t="s">
        <x:v>26</x:v>
      </x:c>
      <x:c r="P7" s="0" t="s">
        <x:v>27</x:v>
      </x:c>
    </x:row>
    <x:row r="8" spans="1:20">
      <x:c r="A8" s="0">
        <x:v>7</x:v>
      </x:c>
      <x:c r="B8" s="0" t="s">
        <x:v>139</x:v>
      </x:c>
      <x:c r="C8" s="0" t="s">
        <x:v>21</x:v>
      </x:c>
      <x:c r="D8" s="0" t="s">
        <x:v>34</x:v>
      </x:c>
      <x:c r="E8" s="0">
        <x:v>1</x:v>
      </x:c>
      <x:c r="F8" s="0">
        <x:v>1</x:v>
      </x:c>
      <x:c r="G8" s="8">
        <x:v>2180</x:v>
      </x:c>
      <x:c r="H8" s="8">
        <x:v>2180</x:v>
      </x:c>
      <x:c r="I8" s="0" t="s">
        <x:v>23</x:v>
      </x:c>
      <x:c r="K8" s="8">
        <x:v>2180</x:v>
      </x:c>
      <x:c r="L8" s="0" t="s">
        <x:v>24</x:v>
      </x:c>
      <x:c r="M8" s="0" t="s">
        <x:v>25</x:v>
      </x:c>
      <x:c r="N8" s="0" t="s">
        <x:v>26</x:v>
      </x:c>
      <x:c r="P8" s="0" t="s">
        <x:v>27</x:v>
      </x:c>
    </x:row>
    <x:row r="9" spans="1:20">
      <x:c r="A9" s="0">
        <x:v>8</x:v>
      </x:c>
      <x:c r="B9" s="0" t="s">
        <x:v>70</x:v>
      </x:c>
      <x:c r="C9" s="0" t="s">
        <x:v>21</x:v>
      </x:c>
      <x:c r="D9" s="0" t="s">
        <x:v>22</x:v>
      </x:c>
      <x:c r="E9" s="0">
        <x:v>1</x:v>
      </x:c>
      <x:c r="F9" s="0">
        <x:v>1</x:v>
      </x:c>
      <x:c r="G9" s="8">
        <x:v>212.1</x:v>
      </x:c>
      <x:c r="H9" s="8">
        <x:v>212.1</x:v>
      </x:c>
      <x:c r="I9" s="0" t="s">
        <x:v>23</x:v>
      </x:c>
      <x:c r="K9" s="8">
        <x:v>212.1</x:v>
      </x:c>
      <x:c r="L9" s="0" t="s">
        <x:v>24</x:v>
      </x:c>
      <x:c r="M9" s="0" t="s">
        <x:v>25</x:v>
      </x:c>
      <x:c r="N9" s="0" t="s">
        <x:v>26</x:v>
      </x:c>
      <x:c r="P9" s="0" t="s">
        <x:v>27</x:v>
      </x:c>
    </x:row>
    <x:row r="10" spans="1:20">
      <x:c r="A10" s="0">
        <x:v>9</x:v>
      </x:c>
      <x:c r="B10" s="0" t="s">
        <x:v>140</x:v>
      </x:c>
      <x:c r="C10" s="0" t="s">
        <x:v>21</x:v>
      </x:c>
      <x:c r="D10" s="0" t="s">
        <x:v>22</x:v>
      </x:c>
      <x:c r="E10" s="0">
        <x:v>1</x:v>
      </x:c>
      <x:c r="F10" s="0">
        <x:v>1</x:v>
      </x:c>
      <x:c r="G10" s="8">
        <x:v>1000</x:v>
      </x:c>
      <x:c r="H10" s="8">
        <x:v>1000</x:v>
      </x:c>
      <x:c r="I10" s="0" t="s">
        <x:v>23</x:v>
      </x:c>
      <x:c r="K10" s="8">
        <x:v>1000</x:v>
      </x:c>
      <x:c r="L10" s="0" t="s">
        <x:v>24</x:v>
      </x:c>
      <x:c r="M10" s="0" t="s">
        <x:v>25</x:v>
      </x:c>
      <x:c r="N10" s="0" t="s">
        <x:v>26</x:v>
      </x:c>
      <x:c r="P10" s="0" t="s">
        <x:v>27</x:v>
      </x:c>
    </x:row>
    <x:row r="11" spans="1:20">
      <x:c r="A11" s="0">
        <x:v>10</x:v>
      </x:c>
      <x:c r="B11" s="0" t="s">
        <x:v>126</x:v>
      </x:c>
      <x:c r="C11" s="0" t="s">
        <x:v>21</x:v>
      </x:c>
      <x:c r="D11" s="0" t="s">
        <x:v>22</x:v>
      </x:c>
      <x:c r="E11" s="0">
        <x:v>1</x:v>
      </x:c>
      <x:c r="F11" s="0">
        <x:v>2</x:v>
      </x:c>
      <x:c r="G11" s="8">
        <x:v>180</x:v>
      </x:c>
      <x:c r="H11" s="8">
        <x:v>360</x:v>
      </x:c>
      <x:c r="I11" s="0" t="s">
        <x:v>23</x:v>
      </x:c>
      <x:c r="K11" s="8">
        <x:v>360</x:v>
      </x:c>
      <x:c r="L11" s="0" t="s">
        <x:v>24</x:v>
      </x:c>
      <x:c r="M11" s="0" t="s">
        <x:v>25</x:v>
      </x:c>
      <x:c r="N11" s="0" t="s">
        <x:v>26</x:v>
      </x:c>
      <x:c r="P11" s="0" t="s">
        <x:v>27</x:v>
      </x:c>
    </x:row>
    <x:row r="12" spans="1:20">
      <x:c r="A12" s="0">
        <x:v>11</x:v>
      </x:c>
      <x:c r="B12" s="0" t="s">
        <x:v>141</x:v>
      </x:c>
      <x:c r="C12" s="0" t="s">
        <x:v>21</x:v>
      </x:c>
      <x:c r="D12" s="0" t="s">
        <x:v>22</x:v>
      </x:c>
      <x:c r="E12" s="0">
        <x:v>1</x:v>
      </x:c>
      <x:c r="F12" s="0">
        <x:v>3</x:v>
      </x:c>
      <x:c r="G12" s="8">
        <x:v>407.4</x:v>
      </x:c>
      <x:c r="H12" s="8">
        <x:v>1222.2</x:v>
      </x:c>
      <x:c r="I12" s="0" t="s">
        <x:v>23</x:v>
      </x:c>
      <x:c r="K12" s="8">
        <x:v>1222.2</x:v>
      </x:c>
      <x:c r="L12" s="0" t="s">
        <x:v>24</x:v>
      </x:c>
      <x:c r="M12" s="0" t="s">
        <x:v>25</x:v>
      </x:c>
      <x:c r="N12" s="0" t="s">
        <x:v>26</x:v>
      </x:c>
      <x:c r="P12" s="0" t="s">
        <x:v>27</x:v>
      </x:c>
    </x:row>
    <x:row r="13" spans="1:20">
      <x:c r="A13" s="0">
        <x:v>12</x:v>
      </x:c>
      <x:c r="B13" s="0" t="s">
        <x:v>39</x:v>
      </x:c>
      <x:c r="C13" s="0" t="s">
        <x:v>21</x:v>
      </x:c>
      <x:c r="D13" s="0" t="s">
        <x:v>22</x:v>
      </x:c>
      <x:c r="E13" s="0">
        <x:v>1</x:v>
      </x:c>
      <x:c r="F13" s="0">
        <x:v>3</x:v>
      </x:c>
      <x:c r="G13" s="8">
        <x:v>131.5</x:v>
      </x:c>
      <x:c r="H13" s="8">
        <x:v>394.5</x:v>
      </x:c>
      <x:c r="I13" s="0" t="s">
        <x:v>23</x:v>
      </x:c>
      <x:c r="K13" s="8">
        <x:v>394.5</x:v>
      </x:c>
      <x:c r="L13" s="0" t="s">
        <x:v>24</x:v>
      </x:c>
      <x:c r="M13" s="0" t="s">
        <x:v>25</x:v>
      </x:c>
      <x:c r="N13" s="0" t="s">
        <x:v>26</x:v>
      </x:c>
      <x:c r="P13" s="0" t="s">
        <x:v>27</x:v>
      </x:c>
    </x:row>
    <x:row r="14" spans="1:20">
      <x:c r="A14" s="0">
        <x:v>13</x:v>
      </x:c>
      <x:c r="B14" s="0" t="s">
        <x:v>40</x:v>
      </x:c>
      <x:c r="C14" s="0" t="s">
        <x:v>21</x:v>
      </x:c>
      <x:c r="D14" s="0" t="s">
        <x:v>22</x:v>
      </x:c>
      <x:c r="E14" s="0">
        <x:v>1</x:v>
      </x:c>
      <x:c r="F14" s="0">
        <x:v>3</x:v>
      </x:c>
      <x:c r="G14" s="8">
        <x:v>400</x:v>
      </x:c>
      <x:c r="H14" s="8">
        <x:v>1200</x:v>
      </x:c>
      <x:c r="I14" s="0" t="s">
        <x:v>23</x:v>
      </x:c>
      <x:c r="K14" s="8">
        <x:v>1200</x:v>
      </x:c>
      <x:c r="L14" s="0" t="s">
        <x:v>24</x:v>
      </x:c>
      <x:c r="M14" s="0" t="s">
        <x:v>25</x:v>
      </x:c>
      <x:c r="N14" s="0" t="s">
        <x:v>26</x:v>
      </x:c>
      <x:c r="P14" s="0" t="s">
        <x:v>27</x:v>
      </x:c>
    </x:row>
    <x:row r="15" spans="1:20">
      <x:c r="A15" s="0">
        <x:v>14</x:v>
      </x:c>
      <x:c r="B15" s="0" t="s">
        <x:v>41</x:v>
      </x:c>
      <x:c r="C15" s="0" t="s">
        <x:v>21</x:v>
      </x:c>
      <x:c r="D15" s="0" t="s">
        <x:v>22</x:v>
      </x:c>
      <x:c r="E15" s="0">
        <x:v>1</x:v>
      </x:c>
      <x:c r="F15" s="0">
        <x:v>1</x:v>
      </x:c>
      <x:c r="G15" s="8">
        <x:v>300</x:v>
      </x:c>
      <x:c r="H15" s="8">
        <x:v>300</x:v>
      </x:c>
      <x:c r="I15" s="0" t="s">
        <x:v>23</x:v>
      </x:c>
      <x:c r="K15" s="8">
        <x:v>300</x:v>
      </x:c>
      <x:c r="L15" s="0" t="s">
        <x:v>24</x:v>
      </x:c>
      <x:c r="M15" s="0" t="s">
        <x:v>25</x:v>
      </x:c>
      <x:c r="N15" s="0" t="s">
        <x:v>26</x:v>
      </x:c>
      <x:c r="P15" s="0" t="s">
        <x:v>27</x:v>
      </x:c>
    </x:row>
    <x:row r="16" spans="1:20">
      <x:c r="A16" s="0">
        <x:v>15</x:v>
      </x:c>
      <x:c r="B16" s="0" t="s">
        <x:v>44</x:v>
      </x:c>
      <x:c r="C16" s="0" t="s">
        <x:v>21</x:v>
      </x:c>
      <x:c r="D16" s="0" t="s">
        <x:v>22</x:v>
      </x:c>
      <x:c r="E16" s="0">
        <x:v>1</x:v>
      </x:c>
      <x:c r="F16" s="0">
        <x:v>1</x:v>
      </x:c>
      <x:c r="G16" s="8">
        <x:v>85</x:v>
      </x:c>
      <x:c r="H16" s="8">
        <x:v>85</x:v>
      </x:c>
      <x:c r="I16" s="0" t="s">
        <x:v>23</x:v>
      </x:c>
      <x:c r="K16" s="8">
        <x:v>85</x:v>
      </x:c>
      <x:c r="L16" s="0" t="s">
        <x:v>24</x:v>
      </x:c>
      <x:c r="M16" s="0" t="s">
        <x:v>25</x:v>
      </x:c>
      <x:c r="N16" s="0" t="s">
        <x:v>26</x:v>
      </x:c>
      <x:c r="P16" s="0" t="s">
        <x:v>27</x:v>
      </x:c>
    </x:row>
    <x:row r="17" spans="1:20">
      <x:c r="A17" s="0">
        <x:v>16</x:v>
      </x:c>
      <x:c r="B17" s="0" t="s">
        <x:v>46</x:v>
      </x:c>
      <x:c r="C17" s="0" t="s">
        <x:v>21</x:v>
      </x:c>
      <x:c r="D17" s="0" t="s">
        <x:v>22</x:v>
      </x:c>
      <x:c r="E17" s="0">
        <x:v>1</x:v>
      </x:c>
      <x:c r="F17" s="0">
        <x:v>1</x:v>
      </x:c>
      <x:c r="G17" s="8">
        <x:v>90</x:v>
      </x:c>
      <x:c r="H17" s="8">
        <x:v>90</x:v>
      </x:c>
      <x:c r="I17" s="0" t="s">
        <x:v>23</x:v>
      </x:c>
      <x:c r="K17" s="8">
        <x:v>90</x:v>
      </x:c>
      <x:c r="L17" s="0" t="s">
        <x:v>24</x:v>
      </x:c>
      <x:c r="M17" s="0" t="s">
        <x:v>25</x:v>
      </x:c>
      <x:c r="N17" s="0" t="s">
        <x:v>26</x:v>
      </x:c>
      <x:c r="P17" s="0" t="s">
        <x:v>27</x:v>
      </x:c>
    </x:row>
    <x:row r="18" spans="1:20">
      <x:c r="A18" s="0">
        <x:v>17</x:v>
      </x:c>
      <x:c r="B18" s="0" t="s">
        <x:v>47</x:v>
      </x:c>
      <x:c r="C18" s="0" t="s">
        <x:v>21</x:v>
      </x:c>
      <x:c r="D18" s="0" t="s">
        <x:v>22</x:v>
      </x:c>
      <x:c r="E18" s="0">
        <x:v>1</x:v>
      </x:c>
      <x:c r="F18" s="0">
        <x:v>6</x:v>
      </x:c>
      <x:c r="G18" s="8">
        <x:v>263.18</x:v>
      </x:c>
      <x:c r="H18" s="8">
        <x:v>1579.1</x:v>
      </x:c>
      <x:c r="I18" s="0" t="s">
        <x:v>23</x:v>
      </x:c>
      <x:c r="K18" s="8">
        <x:v>1579.1</x:v>
      </x:c>
      <x:c r="L18" s="0" t="s">
        <x:v>24</x:v>
      </x:c>
      <x:c r="M18" s="0" t="s">
        <x:v>25</x:v>
      </x:c>
      <x:c r="N18" s="0" t="s">
        <x:v>26</x:v>
      </x:c>
      <x:c r="P18" s="0" t="s">
        <x:v>27</x:v>
      </x:c>
    </x:row>
    <x:row r="19" spans="1:20">
      <x:c r="A19" s="0">
        <x:v>18</x:v>
      </x:c>
      <x:c r="B19" s="0" t="s">
        <x:v>71</x:v>
      </x:c>
      <x:c r="C19" s="0" t="s">
        <x:v>21</x:v>
      </x:c>
      <x:c r="D19" s="0" t="s">
        <x:v>22</x:v>
      </x:c>
      <x:c r="E19" s="0">
        <x:v>1</x:v>
      </x:c>
      <x:c r="F19" s="0">
        <x:v>1</x:v>
      </x:c>
      <x:c r="G19" s="8">
        <x:v>150</x:v>
      </x:c>
      <x:c r="H19" s="8">
        <x:v>150</x:v>
      </x:c>
      <x:c r="I19" s="0" t="s">
        <x:v>23</x:v>
      </x:c>
      <x:c r="K19" s="8">
        <x:v>150</x:v>
      </x:c>
      <x:c r="L19" s="0" t="s">
        <x:v>24</x:v>
      </x:c>
      <x:c r="M19" s="0" t="s">
        <x:v>25</x:v>
      </x:c>
      <x:c r="N19" s="0" t="s">
        <x:v>26</x:v>
      </x:c>
      <x:c r="P19" s="0" t="s">
        <x:v>27</x:v>
      </x:c>
    </x:row>
    <x:row r="20" spans="1:20">
      <x:c r="A20" s="0">
        <x:v>19</x:v>
      </x:c>
      <x:c r="B20" s="0" t="s">
        <x:v>95</x:v>
      </x:c>
      <x:c r="C20" s="0" t="s">
        <x:v>21</x:v>
      </x:c>
      <x:c r="D20" s="0" t="s">
        <x:v>22</x:v>
      </x:c>
      <x:c r="E20" s="0">
        <x:v>1</x:v>
      </x:c>
      <x:c r="F20" s="0">
        <x:v>1</x:v>
      </x:c>
      <x:c r="G20" s="8">
        <x:v>300</x:v>
      </x:c>
      <x:c r="H20" s="8">
        <x:v>300</x:v>
      </x:c>
      <x:c r="I20" s="0" t="s">
        <x:v>23</x:v>
      </x:c>
      <x:c r="K20" s="8">
        <x:v>300</x:v>
      </x:c>
      <x:c r="L20" s="0" t="s">
        <x:v>24</x:v>
      </x:c>
      <x:c r="M20" s="0" t="s">
        <x:v>25</x:v>
      </x:c>
      <x:c r="N20" s="0" t="s">
        <x:v>26</x:v>
      </x:c>
      <x:c r="P20" s="0" t="s">
        <x:v>27</x:v>
      </x:c>
    </x:row>
    <x:row r="21" spans="1:20">
      <x:c r="A21" s="0">
        <x:v>20</x:v>
      </x:c>
      <x:c r="B21" s="0" t="s">
        <x:v>50</x:v>
      </x:c>
      <x:c r="C21" s="0" t="s">
        <x:v>21</x:v>
      </x:c>
      <x:c r="D21" s="0" t="s">
        <x:v>22</x:v>
      </x:c>
      <x:c r="E21" s="0">
        <x:v>1</x:v>
      </x:c>
      <x:c r="F21" s="0">
        <x:v>3</x:v>
      </x:c>
      <x:c r="G21" s="8">
        <x:v>84</x:v>
      </x:c>
      <x:c r="H21" s="8">
        <x:v>252</x:v>
      </x:c>
      <x:c r="I21" s="0" t="s">
        <x:v>23</x:v>
      </x:c>
      <x:c r="K21" s="8">
        <x:v>252</x:v>
      </x:c>
      <x:c r="L21" s="0" t="s">
        <x:v>24</x:v>
      </x:c>
      <x:c r="M21" s="0" t="s">
        <x:v>25</x:v>
      </x:c>
      <x:c r="N21" s="0" t="s">
        <x:v>26</x:v>
      </x:c>
      <x:c r="P21" s="0" t="s">
        <x:v>27</x:v>
      </x:c>
    </x:row>
    <x:row r="22" spans="1:20">
      <x:c r="A22" s="0">
        <x:v>21</x:v>
      </x:c>
      <x:c r="B22" s="0" t="s">
        <x:v>51</x:v>
      </x:c>
      <x:c r="C22" s="0" t="s">
        <x:v>21</x:v>
      </x:c>
      <x:c r="D22" s="0" t="s">
        <x:v>22</x:v>
      </x:c>
      <x:c r="E22" s="0">
        <x:v>1</x:v>
      </x:c>
      <x:c r="F22" s="0">
        <x:v>9</x:v>
      </x:c>
      <x:c r="G22" s="8">
        <x:v>57.98</x:v>
      </x:c>
      <x:c r="H22" s="8">
        <x:v>521.8</x:v>
      </x:c>
      <x:c r="I22" s="0" t="s">
        <x:v>23</x:v>
      </x:c>
      <x:c r="K22" s="8">
        <x:v>521.8</x:v>
      </x:c>
      <x:c r="L22" s="0" t="s">
        <x:v>24</x:v>
      </x:c>
      <x:c r="M22" s="0" t="s">
        <x:v>25</x:v>
      </x:c>
      <x:c r="N22" s="0" t="s">
        <x:v>26</x:v>
      </x:c>
      <x:c r="P22" s="0" t="s">
        <x:v>27</x:v>
      </x:c>
    </x:row>
    <x:row r="23" spans="1:20">
      <x:c r="A23" s="0">
        <x:v>22</x:v>
      </x:c>
      <x:c r="B23" s="0" t="s">
        <x:v>52</x:v>
      </x:c>
      <x:c r="C23" s="0" t="s">
        <x:v>21</x:v>
      </x:c>
      <x:c r="D23" s="0" t="s">
        <x:v>22</x:v>
      </x:c>
      <x:c r="E23" s="0">
        <x:v>1</x:v>
      </x:c>
      <x:c r="F23" s="0">
        <x:v>1</x:v>
      </x:c>
      <x:c r="G23" s="8">
        <x:v>270</x:v>
      </x:c>
      <x:c r="H23" s="8">
        <x:v>270</x:v>
      </x:c>
      <x:c r="I23" s="0" t="s">
        <x:v>23</x:v>
      </x:c>
      <x:c r="K23" s="8">
        <x:v>270</x:v>
      </x:c>
      <x:c r="L23" s="0" t="s">
        <x:v>24</x:v>
      </x:c>
      <x:c r="M23" s="0" t="s">
        <x:v>25</x:v>
      </x:c>
      <x:c r="N23" s="0" t="s">
        <x:v>26</x:v>
      </x:c>
      <x:c r="P23" s="0" t="s">
        <x:v>27</x:v>
      </x:c>
    </x:row>
    <x:row r="24" spans="1:20">
      <x:c r="A24" s="0">
        <x:v>23</x:v>
      </x:c>
      <x:c r="B24" s="0" t="s">
        <x:v>137</x:v>
      </x:c>
      <x:c r="C24" s="0" t="s">
        <x:v>21</x:v>
      </x:c>
      <x:c r="D24" s="0" t="s">
        <x:v>22</x:v>
      </x:c>
      <x:c r="E24" s="0">
        <x:v>1</x:v>
      </x:c>
      <x:c r="F24" s="0">
        <x:v>1</x:v>
      </x:c>
      <x:c r="G24" s="8">
        <x:v>212.5</x:v>
      </x:c>
      <x:c r="H24" s="8">
        <x:v>212.5</x:v>
      </x:c>
      <x:c r="I24" s="0" t="s">
        <x:v>23</x:v>
      </x:c>
      <x:c r="K24" s="8">
        <x:v>212.5</x:v>
      </x:c>
      <x:c r="L24" s="0" t="s">
        <x:v>24</x:v>
      </x:c>
      <x:c r="M24" s="0" t="s">
        <x:v>25</x:v>
      </x:c>
      <x:c r="N24" s="0" t="s">
        <x:v>26</x:v>
      </x:c>
      <x:c r="P24" s="0" t="s">
        <x:v>27</x:v>
      </x:c>
    </x:row>
    <x:row r="25" spans="1:20">
      <x:c r="A25" s="0">
        <x:v>24</x:v>
      </x:c>
      <x:c r="B25" s="0" t="s">
        <x:v>53</x:v>
      </x:c>
      <x:c r="C25" s="0" t="s">
        <x:v>21</x:v>
      </x:c>
      <x:c r="D25" s="0" t="s">
        <x:v>22</x:v>
      </x:c>
      <x:c r="E25" s="0">
        <x:v>1</x:v>
      </x:c>
      <x:c r="F25" s="0">
        <x:v>1</x:v>
      </x:c>
      <x:c r="G25" s="8">
        <x:v>34</x:v>
      </x:c>
      <x:c r="H25" s="8">
        <x:v>34</x:v>
      </x:c>
      <x:c r="I25" s="0" t="s">
        <x:v>23</x:v>
      </x:c>
      <x:c r="K25" s="8">
        <x:v>34</x:v>
      </x:c>
      <x:c r="L25" s="0" t="s">
        <x:v>24</x:v>
      </x:c>
      <x:c r="M25" s="0" t="s">
        <x:v>25</x:v>
      </x:c>
      <x:c r="N25" s="0" t="s">
        <x:v>26</x:v>
      </x:c>
      <x:c r="P25" s="0" t="s">
        <x:v>27</x:v>
      </x:c>
    </x:row>
    <x:row r="26" spans="1:20">
      <x:c r="A26" s="0">
        <x:v>25</x:v>
      </x:c>
      <x:c r="B26" s="0" t="s">
        <x:v>55</x:v>
      </x:c>
      <x:c r="C26" s="0" t="s">
        <x:v>21</x:v>
      </x:c>
      <x:c r="D26" s="0" t="s">
        <x:v>22</x:v>
      </x:c>
      <x:c r="E26" s="0">
        <x:v>1</x:v>
      </x:c>
      <x:c r="F26" s="0">
        <x:v>1</x:v>
      </x:c>
      <x:c r="G26" s="8">
        <x:v>350</x:v>
      </x:c>
      <x:c r="H26" s="8">
        <x:v>350</x:v>
      </x:c>
      <x:c r="I26" s="0" t="s">
        <x:v>23</x:v>
      </x:c>
      <x:c r="K26" s="8">
        <x:v>350</x:v>
      </x:c>
      <x:c r="L26" s="0" t="s">
        <x:v>24</x:v>
      </x:c>
      <x:c r="M26" s="0" t="s">
        <x:v>25</x:v>
      </x:c>
      <x:c r="N26" s="0" t="s">
        <x:v>26</x:v>
      </x:c>
      <x:c r="P26" s="0" t="s">
        <x:v>27</x:v>
      </x:c>
    </x:row>
    <x:row r="27" spans="1:20">
      <x:c r="A27" s="0">
        <x:v>26</x:v>
      </x:c>
      <x:c r="B27" s="0" t="s">
        <x:v>57</x:v>
      </x:c>
      <x:c r="C27" s="0" t="s">
        <x:v>21</x:v>
      </x:c>
      <x:c r="D27" s="0" t="s">
        <x:v>22</x:v>
      </x:c>
      <x:c r="E27" s="0">
        <x:v>1</x:v>
      </x:c>
      <x:c r="F27" s="0">
        <x:v>2</x:v>
      </x:c>
      <x:c r="G27" s="8">
        <x:v>136.5</x:v>
      </x:c>
      <x:c r="H27" s="8">
        <x:v>273</x:v>
      </x:c>
      <x:c r="I27" s="0" t="s">
        <x:v>23</x:v>
      </x:c>
      <x:c r="K27" s="8">
        <x:v>273</x:v>
      </x:c>
      <x:c r="L27" s="0" t="s">
        <x:v>24</x:v>
      </x:c>
      <x:c r="M27" s="0" t="s">
        <x:v>25</x:v>
      </x:c>
      <x:c r="N27" s="0" t="s">
        <x:v>26</x:v>
      </x:c>
      <x:c r="P27" s="0" t="s">
        <x:v>27</x:v>
      </x:c>
    </x:row>
    <x:row r="28" spans="1:20">
      <x:c r="A28" s="0">
        <x:v>27</x:v>
      </x:c>
      <x:c r="B28" s="0" t="s">
        <x:v>58</x:v>
      </x:c>
      <x:c r="C28" s="0" t="s">
        <x:v>21</x:v>
      </x:c>
      <x:c r="D28" s="0" t="s">
        <x:v>22</x:v>
      </x:c>
      <x:c r="E28" s="0">
        <x:v>1</x:v>
      </x:c>
      <x:c r="F28" s="0">
        <x:v>5</x:v>
      </x:c>
      <x:c r="G28" s="8">
        <x:v>280</x:v>
      </x:c>
      <x:c r="H28" s="8">
        <x:v>1400</x:v>
      </x:c>
      <x:c r="I28" s="0" t="s">
        <x:v>23</x:v>
      </x:c>
      <x:c r="K28" s="8">
        <x:v>1400</x:v>
      </x:c>
      <x:c r="L28" s="0" t="s">
        <x:v>24</x:v>
      </x:c>
      <x:c r="M28" s="0" t="s">
        <x:v>25</x:v>
      </x:c>
      <x:c r="N28" s="0" t="s">
        <x:v>26</x:v>
      </x:c>
      <x:c r="P28" s="0" t="s">
        <x:v>27</x:v>
      </x:c>
    </x:row>
    <x:row r="29" spans="1:20">
      <x:c r="A29" s="0">
        <x:v>28</x:v>
      </x:c>
      <x:c r="B29" s="0" t="s">
        <x:v>60</x:v>
      </x:c>
      <x:c r="C29" s="0" t="s">
        <x:v>21</x:v>
      </x:c>
      <x:c r="D29" s="0" t="s">
        <x:v>22</x:v>
      </x:c>
      <x:c r="E29" s="0">
        <x:v>1</x:v>
      </x:c>
      <x:c r="F29" s="0">
        <x:v>2</x:v>
      </x:c>
      <x:c r="G29" s="8">
        <x:v>75.5</x:v>
      </x:c>
      <x:c r="H29" s="8">
        <x:v>151</x:v>
      </x:c>
      <x:c r="I29" s="0" t="s">
        <x:v>23</x:v>
      </x:c>
      <x:c r="K29" s="8">
        <x:v>151</x:v>
      </x:c>
      <x:c r="L29" s="0" t="s">
        <x:v>24</x:v>
      </x:c>
      <x:c r="M29" s="0" t="s">
        <x:v>25</x:v>
      </x:c>
      <x:c r="N29" s="0" t="s">
        <x:v>26</x:v>
      </x:c>
      <x:c r="P29" s="0" t="s">
        <x:v>27</x:v>
      </x:c>
    </x:row>
    <x:row r="30" spans="1:20">
      <x:c r="H30" s="18">
        <x:f>SUM(H2:H29)</x:f>
      </x:c>
    </x:row>
    <x:row r="32" spans="1:20">
      <x:c r="B32" s="19" t="s">
        <x:v>163</x:v>
      </x:c>
      <x:c r="C32" s="20"/>
      <x:c r="D32" s="20"/>
      <x:c r="E32" s="20"/>
      <x:c r="F32" s="20"/>
      <x:c r="G32" s="20"/>
      <x:c r="H32" s="21">
        <x:f>SUM(H33:H35)</x:f>
      </x:c>
      <x:c r="I32" s="22" t="s">
        <x:v>164</x:v>
      </x:c>
    </x:row>
    <x:row r="33" spans="1:20">
      <x:c r="B33" s="21" t="s">
        <x:v>165</x:v>
      </x:c>
      <x:c r="C33" s="21"/>
      <x:c r="D33" s="21"/>
      <x:c r="E33" s="21"/>
      <x:c r="F33" s="20">
        <x:f>F2+F3+F9+F13+F14+F15+F18+F19+F20+F23+F24+F27+F28+F29</x:f>
      </x:c>
      <x:c r="G33" s="20">
        <x:f>G2+G3+G9+G13+G14+G15+G18+G19+G20+G23+G24+G27+G28+G29</x:f>
      </x:c>
      <x:c r="H33" s="20">
        <x:f>H2+H3+H9+H13+H14+H15+H18+H19+H20+H23+H24+H27+H28+H29</x:f>
      </x:c>
      <x:c r="I33" s="15"/>
    </x:row>
    <x:row r="34" spans="1:20">
      <x:c r="B34" s="21" t="s">
        <x:v>166</x:v>
      </x:c>
      <x:c r="C34" s="21"/>
      <x:c r="D34" s="21"/>
      <x:c r="E34" s="21"/>
      <x:c r="F34" s="20"/>
      <x:c r="G34" s="20"/>
      <x:c r="H34" s="20"/>
      <x:c r="I34" s="15"/>
    </x:row>
    <x:row r="35" spans="1:20">
      <x:c r="B35" s="21" t="s">
        <x:v>167</x:v>
      </x:c>
      <x:c r="C35" s="21"/>
      <x:c r="D35" s="21"/>
      <x:c r="E35" s="21"/>
      <x:c r="F35" s="20">
        <x:f>F4+F22+F25</x:f>
      </x:c>
      <x:c r="G35" s="20">
        <x:f>G4+G22+G25</x:f>
      </x:c>
      <x:c r="H35" s="20">
        <x:f>H4+H22+H25</x:f>
      </x:c>
      <x:c r="I35" s="15"/>
    </x:row>
    <x:row r="36" spans="1:20">
      <x:c r="B36" s="19" t="s">
        <x:v>168</x:v>
      </x:c>
      <x:c r="C36" s="20"/>
      <x:c r="D36" s="20"/>
      <x:c r="E36" s="20"/>
      <x:c r="F36" s="20"/>
      <x:c r="G36" s="20"/>
      <x:c r="H36" s="21">
        <x:f>SUM(H37:H43)</x:f>
      </x:c>
      <x:c r="I36" s="22" t="s">
        <x:v>169</x:v>
      </x:c>
    </x:row>
    <x:row r="37" spans="1:20">
      <x:c r="B37" s="21" t="s">
        <x:v>170</x:v>
      </x:c>
      <x:c r="C37" s="21"/>
      <x:c r="D37" s="21"/>
      <x:c r="E37" s="21"/>
      <x:c r="F37" s="20">
        <x:f>F5+F6+F7+F8</x:f>
      </x:c>
      <x:c r="G37" s="20">
        <x:f>G5+G6+G7+G8</x:f>
      </x:c>
      <x:c r="H37" s="20">
        <x:f>H5+H6+H7+H8</x:f>
      </x:c>
      <x:c r="I37" s="15"/>
    </x:row>
    <x:row r="38" spans="1:20">
      <x:c r="B38" s="21" t="s">
        <x:v>171</x:v>
      </x:c>
      <x:c r="C38" s="21"/>
      <x:c r="D38" s="21"/>
      <x:c r="E38" s="21"/>
      <x:c r="F38" s="20">
        <x:f>F12</x:f>
      </x:c>
      <x:c r="G38" s="20">
        <x:f>G12</x:f>
      </x:c>
      <x:c r="H38" s="20">
        <x:f>H12</x:f>
      </x:c>
      <x:c r="I38" s="15"/>
    </x:row>
    <x:row r="39" spans="1:20">
      <x:c r="B39" s="21" t="s">
        <x:v>172</x:v>
      </x:c>
      <x:c r="C39" s="21"/>
      <x:c r="D39" s="21"/>
      <x:c r="E39" s="21"/>
      <x:c r="F39" s="20"/>
      <x:c r="G39" s="20"/>
      <x:c r="H39" s="20"/>
      <x:c r="I39" s="15"/>
    </x:row>
    <x:row r="40" spans="1:20">
      <x:c r="B40" s="21" t="s">
        <x:v>173</x:v>
      </x:c>
      <x:c r="C40" s="21"/>
      <x:c r="D40" s="21"/>
      <x:c r="E40" s="21"/>
      <x:c r="F40" s="20"/>
      <x:c r="G40" s="20"/>
      <x:c r="H40" s="20"/>
      <x:c r="I40" s="15"/>
    </x:row>
    <x:row r="41" spans="1:20">
      <x:c r="B41" s="21" t="s">
        <x:v>174</x:v>
      </x:c>
      <x:c r="C41" s="21"/>
      <x:c r="D41" s="21"/>
      <x:c r="E41" s="21"/>
      <x:c r="F41" s="20"/>
      <x:c r="G41" s="20"/>
      <x:c r="H41" s="20"/>
      <x:c r="I41" s="15"/>
    </x:row>
    <x:row r="42" spans="1:20">
      <x:c r="B42" s="21" t="s">
        <x:v>70</x:v>
      </x:c>
      <x:c r="C42" s="21"/>
      <x:c r="D42" s="21"/>
      <x:c r="E42" s="21"/>
      <x:c r="F42" s="20">
        <x:f>F10</x:f>
      </x:c>
      <x:c r="G42" s="20">
        <x:f>G10</x:f>
      </x:c>
      <x:c r="H42" s="20">
        <x:f>H10</x:f>
      </x:c>
      <x:c r="I42" s="15"/>
    </x:row>
    <x:row r="43" spans="1:20">
      <x:c r="B43" s="21" t="s">
        <x:v>175</x:v>
      </x:c>
      <x:c r="C43" s="21"/>
      <x:c r="D43" s="21"/>
      <x:c r="E43" s="21"/>
      <x:c r="F43" s="20"/>
      <x:c r="G43" s="20"/>
      <x:c r="H43" s="20"/>
      <x:c r="I43" s="15"/>
    </x:row>
    <x:row r="44" spans="1:20">
      <x:c r="B44" s="19" t="s">
        <x:v>176</x:v>
      </x:c>
      <x:c r="C44" s="20"/>
      <x:c r="D44" s="20"/>
      <x:c r="E44" s="20"/>
      <x:c r="F44" s="20"/>
      <x:c r="G44" s="20"/>
      <x:c r="H44" s="21">
        <x:f>SUM(H45:H50)</x:f>
      </x:c>
      <x:c r="I44" s="22" t="s">
        <x:v>177</x:v>
      </x:c>
    </x:row>
    <x:row r="45" spans="1:20">
      <x:c r="B45" s="21" t="s">
        <x:v>178</x:v>
      </x:c>
      <x:c r="C45" s="21"/>
      <x:c r="D45" s="21"/>
      <x:c r="E45" s="21"/>
      <x:c r="F45" s="20"/>
      <x:c r="G45" s="20"/>
      <x:c r="H45" s="20"/>
      <x:c r="I45" s="15"/>
    </x:row>
    <x:row r="46" spans="1:20">
      <x:c r="B46" s="21" t="s">
        <x:v>179</x:v>
      </x:c>
      <x:c r="C46" s="21"/>
      <x:c r="D46" s="21"/>
      <x:c r="E46" s="21"/>
      <x:c r="F46" s="20">
        <x:f>F26</x:f>
      </x:c>
      <x:c r="G46" s="20">
        <x:f>G26</x:f>
      </x:c>
      <x:c r="H46" s="20">
        <x:f>H26</x:f>
      </x:c>
      <x:c r="I46" s="15"/>
    </x:row>
    <x:row r="47" spans="1:20">
      <x:c r="B47" s="21" t="s">
        <x:v>54</x:v>
      </x:c>
      <x:c r="C47" s="21"/>
      <x:c r="D47" s="21"/>
      <x:c r="E47" s="21"/>
      <x:c r="F47" s="20"/>
      <x:c r="G47" s="20"/>
      <x:c r="H47" s="20"/>
      <x:c r="I47" s="15"/>
    </x:row>
    <x:row r="48" spans="1:20">
      <x:c r="B48" s="21" t="s">
        <x:v>180</x:v>
      </x:c>
      <x:c r="C48" s="21"/>
      <x:c r="D48" s="21"/>
      <x:c r="E48" s="21"/>
      <x:c r="F48" s="20">
        <x:f>F11</x:f>
      </x:c>
      <x:c r="G48" s="20">
        <x:f>G11</x:f>
      </x:c>
      <x:c r="H48" s="20">
        <x:f>H11</x:f>
      </x:c>
      <x:c r="I48" s="15"/>
    </x:row>
    <x:row r="49" spans="1:20">
      <x:c r="B49" s="21" t="s">
        <x:v>181</x:v>
      </x:c>
      <x:c r="C49" s="21"/>
      <x:c r="D49" s="21"/>
      <x:c r="E49" s="21"/>
      <x:c r="F49" s="20">
        <x:f>F17+F21</x:f>
      </x:c>
      <x:c r="G49" s="20">
        <x:f>G17+G21</x:f>
      </x:c>
      <x:c r="H49" s="20">
        <x:f>H17+H21</x:f>
      </x:c>
      <x:c r="I49" s="15"/>
    </x:row>
    <x:row r="50" spans="1:20">
      <x:c r="B50" s="21" t="s">
        <x:v>182</x:v>
      </x:c>
      <x:c r="C50" s="21"/>
      <x:c r="D50" s="21"/>
      <x:c r="E50" s="21"/>
      <x:c r="F50" s="20">
        <x:f>F16</x:f>
      </x:c>
      <x:c r="G50" s="20">
        <x:f>G16</x:f>
      </x:c>
      <x:c r="H50" s="20">
        <x:f>H16</x:f>
      </x:c>
      <x:c r="I50" s="15"/>
    </x:row>
    <x:row r="51" spans="1:20">
      <x:c r="B51" s="19" t="s">
        <x:v>183</x:v>
      </x:c>
      <x:c r="C51" s="20"/>
      <x:c r="D51" s="20"/>
      <x:c r="E51" s="20"/>
      <x:c r="F51" s="20"/>
      <x:c r="G51" s="20"/>
      <x:c r="H51" s="21">
        <x:f>SUM(H52:H53)</x:f>
      </x:c>
      <x:c r="I51" s="22"/>
    </x:row>
    <x:row r="52" spans="1:20">
      <x:c r="B52" s="21" t="s">
        <x:v>184</x:v>
      </x:c>
      <x:c r="C52" s="21"/>
      <x:c r="D52" s="21"/>
      <x:c r="E52" s="21"/>
      <x:c r="F52" s="20"/>
      <x:c r="G52" s="20"/>
      <x:c r="H52" s="20"/>
      <x:c r="I52" s="15"/>
    </x:row>
    <x:row r="53" spans="1:20">
      <x:c r="B53" s="21" t="s">
        <x:v>185</x:v>
      </x:c>
      <x:c r="C53" s="21"/>
      <x:c r="D53" s="21"/>
      <x:c r="E53" s="21"/>
      <x:c r="F53" s="20"/>
      <x:c r="G53" s="20"/>
      <x:c r="H53" s="20"/>
      <x:c r="I53" s="15"/>
    </x:row>
    <x:row r="54" spans="1:20">
      <x:c r="B54" s="22"/>
      <x:c r="C54" s="22"/>
      <x:c r="D54" s="22"/>
      <x:c r="E54" s="22"/>
      <x:c r="F54" s="15"/>
      <x:c r="G54" s="15"/>
      <x:c r="H54" s="22">
        <x:f>H32+H36+H44+H51</x:f>
      </x:c>
      <x:c r="I54" s="15"/>
    </x:row>
    <x:row r="55" spans="1:20">
      <x:c r="H55" s="17">
        <x:f>H54 - H30</x:f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A23C7F0-0E54-994D-9D89-F626DC5C1DB1}" mc:Ignorable="x14ac xr xr2 xr3">
  <x:sheetPr>
    <x:outlinePr summaryBelow="1" summaryRight="1"/>
  </x:sheetPr>
  <x:dimension ref="A1:T42"/>
  <x:sheetViews>
    <x:sheetView topLeftCell="A42" zoomScale="120" zoomScaleNormal="120" workbookViewId="0">
      <x:selection activeCell="A43" sqref="A43 A43:K68"/>
    </x:sheetView>
  </x:sheetViews>
  <x:sheetFormatPr defaultColWidth="11.210625" defaultRowHeight="15.75"/>
  <x:cols>
    <x:col min="1" max="1" width="11.210625" style="0" customWidth="1"/>
    <x:col min="2" max="2" width="32.375" style="0" customWidth="1"/>
    <x:col min="3" max="3" width="3.5" style="0" customWidth="1"/>
    <x:col min="4" max="4" width="2.625" style="0" customWidth="1"/>
    <x:col min="5" max="5" width="1.875" style="0" customWidth="1"/>
  </x:cols>
  <x:sheetData>
    <x:row r="1" spans="1:2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</x:row>
    <x:row r="2" spans="1:20">
      <x:c r="A2" s="0">
        <x:v>1</x:v>
      </x:c>
      <x:c r="B2" s="0" t="s">
        <x:v>61</x:v>
      </x:c>
      <x:c r="C2" s="0" t="s">
        <x:v>21</x:v>
      </x:c>
      <x:c r="D2" s="0" t="s">
        <x:v>22</x:v>
      </x:c>
      <x:c r="E2" s="0">
        <x:v>1</x:v>
      </x:c>
      <x:c r="F2" s="0">
        <x:v>1</x:v>
      </x:c>
      <x:c r="G2" s="8">
        <x:v>250</x:v>
      </x:c>
      <x:c r="H2" s="8">
        <x:v>250</x:v>
      </x:c>
      <x:c r="I2" s="0" t="s">
        <x:v>23</x:v>
      </x:c>
      <x:c r="K2" s="8">
        <x:v>250</x:v>
      </x:c>
      <x:c r="L2" s="0" t="s">
        <x:v>24</x:v>
      </x:c>
      <x:c r="M2" s="0" t="s">
        <x:v>25</x:v>
      </x:c>
      <x:c r="N2" s="0" t="s">
        <x:v>26</x:v>
      </x:c>
      <x:c r="P2" s="0" t="s">
        <x:v>27</x:v>
      </x:c>
    </x:row>
    <x:row r="3" spans="1:20">
      <x:c r="A3" s="0">
        <x:v>2</x:v>
      </x:c>
      <x:c r="B3" s="0" t="s">
        <x:v>20</x:v>
      </x:c>
      <x:c r="C3" s="0" t="s">
        <x:v>21</x:v>
      </x:c>
      <x:c r="D3" s="0" t="s">
        <x:v>22</x:v>
      </x:c>
      <x:c r="E3" s="0">
        <x:v>1</x:v>
      </x:c>
      <x:c r="F3" s="0">
        <x:v>2</x:v>
      </x:c>
      <x:c r="G3" s="8">
        <x:v>150</x:v>
      </x:c>
      <x:c r="H3" s="8">
        <x:v>300</x:v>
      </x:c>
      <x:c r="I3" s="0" t="s">
        <x:v>23</x:v>
      </x:c>
      <x:c r="K3" s="8">
        <x:v>300</x:v>
      </x:c>
      <x:c r="L3" s="0" t="s">
        <x:v>24</x:v>
      </x:c>
      <x:c r="M3" s="0" t="s">
        <x:v>25</x:v>
      </x:c>
      <x:c r="N3" s="0" t="s">
        <x:v>26</x:v>
      </x:c>
      <x:c r="P3" s="0" t="s">
        <x:v>27</x:v>
      </x:c>
    </x:row>
    <x:row r="4" spans="1:20">
      <x:c r="A4" s="0">
        <x:v>3</x:v>
      </x:c>
      <x:c r="B4" s="0" t="s">
        <x:v>74</x:v>
      </x:c>
      <x:c r="C4" s="0" t="s">
        <x:v>21</x:v>
      </x:c>
      <x:c r="D4" s="0" t="s">
        <x:v>22</x:v>
      </x:c>
      <x:c r="E4" s="0">
        <x:v>1</x:v>
      </x:c>
      <x:c r="F4" s="0">
        <x:v>1</x:v>
      </x:c>
      <x:c r="G4" s="8">
        <x:v>250</x:v>
      </x:c>
      <x:c r="H4" s="8">
        <x:v>250</x:v>
      </x:c>
      <x:c r="I4" s="0" t="s">
        <x:v>23</x:v>
      </x:c>
      <x:c r="K4" s="8">
        <x:v>250</x:v>
      </x:c>
      <x:c r="L4" s="0" t="s">
        <x:v>24</x:v>
      </x:c>
      <x:c r="M4" s="0" t="s">
        <x:v>25</x:v>
      </x:c>
      <x:c r="N4" s="0" t="s">
        <x:v>26</x:v>
      </x:c>
      <x:c r="P4" s="0" t="s">
        <x:v>27</x:v>
      </x:c>
    </x:row>
    <x:row r="5" spans="1:20">
      <x:c r="A5" s="0">
        <x:v>4</x:v>
      </x:c>
      <x:c r="B5" s="0" t="s">
        <x:v>29</x:v>
      </x:c>
      <x:c r="C5" s="0" t="s">
        <x:v>21</x:v>
      </x:c>
      <x:c r="D5" s="0" t="s">
        <x:v>22</x:v>
      </x:c>
      <x:c r="E5" s="0">
        <x:v>1</x:v>
      </x:c>
      <x:c r="F5" s="0">
        <x:v>6</x:v>
      </x:c>
      <x:c r="G5" s="8">
        <x:v>233.33</x:v>
      </x:c>
      <x:c r="H5" s="8">
        <x:v>1400</x:v>
      </x:c>
      <x:c r="I5" s="0" t="s">
        <x:v>23</x:v>
      </x:c>
      <x:c r="K5" s="8">
        <x:v>1400</x:v>
      </x:c>
      <x:c r="L5" s="0" t="s">
        <x:v>24</x:v>
      </x:c>
      <x:c r="M5" s="0" t="s">
        <x:v>25</x:v>
      </x:c>
      <x:c r="N5" s="0" t="s">
        <x:v>26</x:v>
      </x:c>
      <x:c r="P5" s="0" t="s">
        <x:v>27</x:v>
      </x:c>
    </x:row>
    <x:row r="6" spans="1:20">
      <x:c r="A6" s="0">
        <x:v>5</x:v>
      </x:c>
      <x:c r="B6" s="0" t="s">
        <x:v>30</x:v>
      </x:c>
      <x:c r="C6" s="0" t="s">
        <x:v>21</x:v>
      </x:c>
      <x:c r="D6" s="0" t="s">
        <x:v>22</x:v>
      </x:c>
      <x:c r="E6" s="0">
        <x:v>1</x:v>
      </x:c>
      <x:c r="F6" s="0">
        <x:v>10</x:v>
      </x:c>
      <x:c r="G6" s="8">
        <x:v>289.13</x:v>
      </x:c>
      <x:c r="H6" s="8">
        <x:v>2891.31</x:v>
      </x:c>
      <x:c r="I6" s="0" t="s">
        <x:v>23</x:v>
      </x:c>
      <x:c r="K6" s="8">
        <x:v>2891.31</x:v>
      </x:c>
      <x:c r="L6" s="0" t="s">
        <x:v>24</x:v>
      </x:c>
      <x:c r="M6" s="0" t="s">
        <x:v>25</x:v>
      </x:c>
      <x:c r="N6" s="0" t="s">
        <x:v>26</x:v>
      </x:c>
      <x:c r="P6" s="0" t="s">
        <x:v>27</x:v>
      </x:c>
    </x:row>
    <x:row r="7" spans="1:20">
      <x:c r="A7" s="0">
        <x:v>6</x:v>
      </x:c>
      <x:c r="B7" s="0" t="s">
        <x:v>31</x:v>
      </x:c>
      <x:c r="C7" s="0" t="s">
        <x:v>21</x:v>
      </x:c>
      <x:c r="D7" s="0" t="s">
        <x:v>22</x:v>
      </x:c>
      <x:c r="E7" s="0">
        <x:v>1</x:v>
      </x:c>
      <x:c r="F7" s="0">
        <x:v>3</x:v>
      </x:c>
      <x:c r="G7" s="8">
        <x:v>96.67</x:v>
      </x:c>
      <x:c r="H7" s="8">
        <x:v>290</x:v>
      </x:c>
      <x:c r="I7" s="0" t="s">
        <x:v>23</x:v>
      </x:c>
      <x:c r="K7" s="8">
        <x:v>290</x:v>
      </x:c>
      <x:c r="L7" s="0" t="s">
        <x:v>24</x:v>
      </x:c>
      <x:c r="M7" s="0" t="s">
        <x:v>25</x:v>
      </x:c>
      <x:c r="N7" s="0" t="s">
        <x:v>26</x:v>
      </x:c>
      <x:c r="P7" s="0" t="s">
        <x:v>27</x:v>
      </x:c>
    </x:row>
    <x:row r="8" spans="1:20">
      <x:c r="A8" s="0">
        <x:v>7</x:v>
      </x:c>
      <x:c r="B8" s="0" t="s">
        <x:v>62</x:v>
      </x:c>
      <x:c r="C8" s="0" t="s">
        <x:v>21</x:v>
      </x:c>
      <x:c r="D8" s="0" t="s">
        <x:v>34</x:v>
      </x:c>
      <x:c r="E8" s="0">
        <x:v>1</x:v>
      </x:c>
      <x:c r="F8" s="0">
        <x:v>0.1</x:v>
      </x:c>
      <x:c r="G8" s="8">
        <x:v>3180</x:v>
      </x:c>
      <x:c r="H8" s="8">
        <x:v>318</x:v>
      </x:c>
      <x:c r="I8" s="0" t="s">
        <x:v>23</x:v>
      </x:c>
      <x:c r="K8" s="8">
        <x:v>318</x:v>
      </x:c>
      <x:c r="L8" s="0" t="s">
        <x:v>24</x:v>
      </x:c>
      <x:c r="M8" s="0" t="s">
        <x:v>25</x:v>
      </x:c>
      <x:c r="N8" s="0" t="s">
        <x:v>26</x:v>
      </x:c>
      <x:c r="P8" s="0" t="s">
        <x:v>27</x:v>
      </x:c>
    </x:row>
    <x:row r="9" spans="1:20">
      <x:c r="A9" s="0">
        <x:v>8</x:v>
      </x:c>
      <x:c r="B9" s="0" t="s">
        <x:v>77</x:v>
      </x:c>
      <x:c r="C9" s="0" t="s">
        <x:v>21</x:v>
      </x:c>
      <x:c r="D9" s="0" t="s">
        <x:v>34</x:v>
      </x:c>
      <x:c r="E9" s="0">
        <x:v>1</x:v>
      </x:c>
      <x:c r="F9" s="0">
        <x:v>0.2</x:v>
      </x:c>
      <x:c r="G9" s="8">
        <x:v>3880</x:v>
      </x:c>
      <x:c r="H9" s="8">
        <x:v>776</x:v>
      </x:c>
      <x:c r="I9" s="0" t="s">
        <x:v>23</x:v>
      </x:c>
      <x:c r="K9" s="8">
        <x:v>776</x:v>
      </x:c>
      <x:c r="L9" s="0" t="s">
        <x:v>24</x:v>
      </x:c>
      <x:c r="M9" s="0" t="s">
        <x:v>25</x:v>
      </x:c>
      <x:c r="N9" s="0" t="s">
        <x:v>26</x:v>
      </x:c>
      <x:c r="P9" s="0" t="s">
        <x:v>27</x:v>
      </x:c>
    </x:row>
    <x:row r="10" spans="1:20">
      <x:c r="A10" s="0">
        <x:v>9</x:v>
      </x:c>
      <x:c r="B10" s="0" t="s">
        <x:v>78</x:v>
      </x:c>
      <x:c r="C10" s="0" t="s">
        <x:v>21</x:v>
      </x:c>
      <x:c r="D10" s="0" t="s">
        <x:v>34</x:v>
      </x:c>
      <x:c r="E10" s="0">
        <x:v>1</x:v>
      </x:c>
      <x:c r="F10" s="0">
        <x:v>0.1</x:v>
      </x:c>
      <x:c r="G10" s="8">
        <x:v>3380</x:v>
      </x:c>
      <x:c r="H10" s="8">
        <x:v>338</x:v>
      </x:c>
      <x:c r="I10" s="0" t="s">
        <x:v>23</x:v>
      </x:c>
      <x:c r="K10" s="8">
        <x:v>338</x:v>
      </x:c>
      <x:c r="L10" s="0" t="s">
        <x:v>24</x:v>
      </x:c>
      <x:c r="M10" s="0" t="s">
        <x:v>25</x:v>
      </x:c>
      <x:c r="N10" s="0" t="s">
        <x:v>26</x:v>
      </x:c>
      <x:c r="P10" s="0" t="s">
        <x:v>27</x:v>
      </x:c>
    </x:row>
    <x:row r="11" spans="1:20">
      <x:c r="A11" s="0">
        <x:v>10</x:v>
      </x:c>
      <x:c r="B11" s="0" t="s">
        <x:v>80</x:v>
      </x:c>
      <x:c r="C11" s="0" t="s">
        <x:v>21</x:v>
      </x:c>
      <x:c r="D11" s="0" t="s">
        <x:v>34</x:v>
      </x:c>
      <x:c r="E11" s="0">
        <x:v>1</x:v>
      </x:c>
      <x:c r="F11" s="0">
        <x:v>0.1</x:v>
      </x:c>
      <x:c r="G11" s="8">
        <x:v>3380</x:v>
      </x:c>
      <x:c r="H11" s="8">
        <x:v>338</x:v>
      </x:c>
      <x:c r="I11" s="0" t="s">
        <x:v>23</x:v>
      </x:c>
      <x:c r="K11" s="8">
        <x:v>338</x:v>
      </x:c>
      <x:c r="L11" s="0" t="s">
        <x:v>24</x:v>
      </x:c>
      <x:c r="M11" s="0" t="s">
        <x:v>25</x:v>
      </x:c>
      <x:c r="N11" s="0" t="s">
        <x:v>26</x:v>
      </x:c>
      <x:c r="P11" s="0" t="s">
        <x:v>27</x:v>
      </x:c>
    </x:row>
    <x:row r="12" spans="1:20">
      <x:c r="A12" s="0">
        <x:v>11</x:v>
      </x:c>
      <x:c r="B12" s="0" t="s">
        <x:v>93</x:v>
      </x:c>
      <x:c r="C12" s="0" t="s">
        <x:v>21</x:v>
      </x:c>
      <x:c r="D12" s="0" t="s">
        <x:v>34</x:v>
      </x:c>
      <x:c r="E12" s="0">
        <x:v>1</x:v>
      </x:c>
      <x:c r="F12" s="0">
        <x:v>0.1</x:v>
      </x:c>
      <x:c r="G12" s="8">
        <x:v>3480</x:v>
      </x:c>
      <x:c r="H12" s="8">
        <x:v>348</x:v>
      </x:c>
      <x:c r="I12" s="0" t="s">
        <x:v>23</x:v>
      </x:c>
      <x:c r="K12" s="8">
        <x:v>348</x:v>
      </x:c>
      <x:c r="L12" s="0" t="s">
        <x:v>24</x:v>
      </x:c>
      <x:c r="M12" s="0" t="s">
        <x:v>25</x:v>
      </x:c>
      <x:c r="N12" s="0" t="s">
        <x:v>26</x:v>
      </x:c>
      <x:c r="P12" s="0" t="s">
        <x:v>27</x:v>
      </x:c>
    </x:row>
    <x:row r="13" spans="1:20">
      <x:c r="A13" s="0">
        <x:v>12</x:v>
      </x:c>
      <x:c r="B13" s="0" t="s">
        <x:v>66</x:v>
      </x:c>
      <x:c r="C13" s="0" t="s">
        <x:v>21</x:v>
      </x:c>
      <x:c r="D13" s="0" t="s">
        <x:v>34</x:v>
      </x:c>
      <x:c r="E13" s="0">
        <x:v>1</x:v>
      </x:c>
      <x:c r="F13" s="0">
        <x:v>0.1</x:v>
      </x:c>
      <x:c r="G13" s="8">
        <x:v>4680</x:v>
      </x:c>
      <x:c r="H13" s="8">
        <x:v>468</x:v>
      </x:c>
      <x:c r="I13" s="0" t="s">
        <x:v>23</x:v>
      </x:c>
      <x:c r="K13" s="8">
        <x:v>468</x:v>
      </x:c>
      <x:c r="L13" s="0" t="s">
        <x:v>24</x:v>
      </x:c>
      <x:c r="M13" s="0" t="s">
        <x:v>25</x:v>
      </x:c>
      <x:c r="N13" s="0" t="s">
        <x:v>26</x:v>
      </x:c>
      <x:c r="P13" s="0" t="s">
        <x:v>27</x:v>
      </x:c>
    </x:row>
    <x:row r="14" spans="1:20">
      <x:c r="A14" s="0">
        <x:v>13</x:v>
      </x:c>
      <x:c r="B14" s="0" t="s">
        <x:v>67</x:v>
      </x:c>
      <x:c r="C14" s="0" t="s">
        <x:v>21</x:v>
      </x:c>
      <x:c r="D14" s="0" t="s">
        <x:v>34</x:v>
      </x:c>
      <x:c r="E14" s="0">
        <x:v>1</x:v>
      </x:c>
      <x:c r="F14" s="0">
        <x:v>0.1</x:v>
      </x:c>
      <x:c r="G14" s="8">
        <x:v>3180</x:v>
      </x:c>
      <x:c r="H14" s="8">
        <x:v>318</x:v>
      </x:c>
      <x:c r="I14" s="0" t="s">
        <x:v>23</x:v>
      </x:c>
      <x:c r="K14" s="8">
        <x:v>318</x:v>
      </x:c>
      <x:c r="L14" s="0" t="s">
        <x:v>24</x:v>
      </x:c>
      <x:c r="M14" s="0" t="s">
        <x:v>25</x:v>
      </x:c>
      <x:c r="N14" s="0" t="s">
        <x:v>26</x:v>
      </x:c>
      <x:c r="P14" s="0" t="s">
        <x:v>27</x:v>
      </x:c>
    </x:row>
    <x:row r="15" spans="1:20">
      <x:c r="A15" s="0">
        <x:v>14</x:v>
      </x:c>
      <x:c r="B15" s="0" t="s">
        <x:v>68</x:v>
      </x:c>
      <x:c r="C15" s="0" t="s">
        <x:v>21</x:v>
      </x:c>
      <x:c r="D15" s="0" t="s">
        <x:v>34</x:v>
      </x:c>
      <x:c r="E15" s="0">
        <x:v>1</x:v>
      </x:c>
      <x:c r="F15" s="0">
        <x:v>0.1</x:v>
      </x:c>
      <x:c r="G15" s="8">
        <x:v>3180</x:v>
      </x:c>
      <x:c r="H15" s="8">
        <x:v>318</x:v>
      </x:c>
      <x:c r="I15" s="0" t="s">
        <x:v>23</x:v>
      </x:c>
      <x:c r="K15" s="8">
        <x:v>318</x:v>
      </x:c>
      <x:c r="L15" s="0" t="s">
        <x:v>24</x:v>
      </x:c>
      <x:c r="M15" s="0" t="s">
        <x:v>25</x:v>
      </x:c>
      <x:c r="N15" s="0" t="s">
        <x:v>26</x:v>
      </x:c>
      <x:c r="P15" s="0" t="s">
        <x:v>27</x:v>
      </x:c>
    </x:row>
    <x:row r="16" spans="1:20">
      <x:c r="A16" s="0">
        <x:v>15</x:v>
      </x:c>
      <x:c r="B16" s="0" t="s">
        <x:v>102</x:v>
      </x:c>
      <x:c r="C16" s="0" t="s">
        <x:v>21</x:v>
      </x:c>
      <x:c r="D16" s="0" t="s">
        <x:v>34</x:v>
      </x:c>
      <x:c r="E16" s="0">
        <x:v>1</x:v>
      </x:c>
      <x:c r="F16" s="0">
        <x:v>0.1</x:v>
      </x:c>
      <x:c r="G16" s="8">
        <x:v>4980</x:v>
      </x:c>
      <x:c r="H16" s="8">
        <x:v>498</x:v>
      </x:c>
      <x:c r="I16" s="0" t="s">
        <x:v>23</x:v>
      </x:c>
      <x:c r="K16" s="8">
        <x:v>498</x:v>
      </x:c>
      <x:c r="L16" s="0" t="s">
        <x:v>24</x:v>
      </x:c>
      <x:c r="M16" s="0" t="s">
        <x:v>25</x:v>
      </x:c>
      <x:c r="N16" s="0" t="s">
        <x:v>26</x:v>
      </x:c>
      <x:c r="P16" s="0" t="s">
        <x:v>27</x:v>
      </x:c>
    </x:row>
    <x:row r="17" spans="1:20">
      <x:c r="A17" s="0">
        <x:v>16</x:v>
      </x:c>
      <x:c r="B17" s="0" t="s">
        <x:v>70</x:v>
      </x:c>
      <x:c r="C17" s="0" t="s">
        <x:v>21</x:v>
      </x:c>
      <x:c r="D17" s="0" t="s">
        <x:v>22</x:v>
      </x:c>
      <x:c r="E17" s="0">
        <x:v>1</x:v>
      </x:c>
      <x:c r="F17" s="0">
        <x:v>1</x:v>
      </x:c>
      <x:c r="G17" s="8">
        <x:v>212.5</x:v>
      </x:c>
      <x:c r="H17" s="8">
        <x:v>212.5</x:v>
      </x:c>
      <x:c r="I17" s="0" t="s">
        <x:v>23</x:v>
      </x:c>
      <x:c r="K17" s="8">
        <x:v>212.5</x:v>
      </x:c>
      <x:c r="L17" s="0" t="s">
        <x:v>24</x:v>
      </x:c>
      <x:c r="M17" s="0" t="s">
        <x:v>25</x:v>
      </x:c>
      <x:c r="N17" s="0" t="s">
        <x:v>26</x:v>
      </x:c>
      <x:c r="P17" s="0" t="s">
        <x:v>27</x:v>
      </x:c>
    </x:row>
    <x:row r="18" spans="1:20">
      <x:c r="A18" s="0">
        <x:v>17</x:v>
      </x:c>
      <x:c r="B18" s="0" t="s">
        <x:v>94</x:v>
      </x:c>
      <x:c r="C18" s="0" t="s">
        <x:v>21</x:v>
      </x:c>
      <x:c r="D18" s="0" t="s">
        <x:v>22</x:v>
      </x:c>
      <x:c r="E18" s="0">
        <x:v>1</x:v>
      </x:c>
      <x:c r="F18" s="0">
        <x:v>1</x:v>
      </x:c>
      <x:c r="G18" s="8">
        <x:v>85</x:v>
      </x:c>
      <x:c r="H18" s="8">
        <x:v>85</x:v>
      </x:c>
      <x:c r="I18" s="0" t="s">
        <x:v>23</x:v>
      </x:c>
      <x:c r="K18" s="8">
        <x:v>85</x:v>
      </x:c>
      <x:c r="L18" s="0" t="s">
        <x:v>24</x:v>
      </x:c>
      <x:c r="M18" s="0" t="s">
        <x:v>25</x:v>
      </x:c>
      <x:c r="N18" s="0" t="s">
        <x:v>26</x:v>
      </x:c>
      <x:c r="P18" s="0" t="s">
        <x:v>27</x:v>
      </x:c>
    </x:row>
    <x:row r="19" spans="1:20">
      <x:c r="A19" s="0">
        <x:v>18</x:v>
      </x:c>
      <x:c r="B19" s="0" t="s">
        <x:v>37</x:v>
      </x:c>
      <x:c r="C19" s="0" t="s">
        <x:v>21</x:v>
      </x:c>
      <x:c r="D19" s="0" t="s">
        <x:v>22</x:v>
      </x:c>
      <x:c r="E19" s="0">
        <x:v>1</x:v>
      </x:c>
      <x:c r="F19" s="0">
        <x:v>1</x:v>
      </x:c>
      <x:c r="G19" s="8">
        <x:v>350</x:v>
      </x:c>
      <x:c r="H19" s="8">
        <x:v>350</x:v>
      </x:c>
      <x:c r="I19" s="0" t="s">
        <x:v>23</x:v>
      </x:c>
      <x:c r="K19" s="8">
        <x:v>350</x:v>
      </x:c>
      <x:c r="L19" s="0" t="s">
        <x:v>24</x:v>
      </x:c>
      <x:c r="M19" s="0" t="s">
        <x:v>25</x:v>
      </x:c>
      <x:c r="N19" s="0" t="s">
        <x:v>26</x:v>
      </x:c>
      <x:c r="P19" s="0" t="s">
        <x:v>27</x:v>
      </x:c>
    </x:row>
    <x:row r="20" spans="1:20">
      <x:c r="A20" s="0">
        <x:v>19</x:v>
      </x:c>
      <x:c r="B20" s="0" t="s">
        <x:v>126</x:v>
      </x:c>
      <x:c r="C20" s="0" t="s">
        <x:v>21</x:v>
      </x:c>
      <x:c r="D20" s="0" t="s">
        <x:v>22</x:v>
      </x:c>
      <x:c r="E20" s="0">
        <x:v>1</x:v>
      </x:c>
      <x:c r="F20" s="0">
        <x:v>3</x:v>
      </x:c>
      <x:c r="G20" s="8">
        <x:v>180</x:v>
      </x:c>
      <x:c r="H20" s="8">
        <x:v>540</x:v>
      </x:c>
      <x:c r="I20" s="0" t="s">
        <x:v>23</x:v>
      </x:c>
      <x:c r="K20" s="8">
        <x:v>540</x:v>
      </x:c>
      <x:c r="L20" s="0" t="s">
        <x:v>24</x:v>
      </x:c>
      <x:c r="M20" s="0" t="s">
        <x:v>25</x:v>
      </x:c>
      <x:c r="N20" s="0" t="s">
        <x:v>26</x:v>
      </x:c>
      <x:c r="P20" s="0" t="s">
        <x:v>27</x:v>
      </x:c>
    </x:row>
    <x:row r="21" spans="1:20">
      <x:c r="A21" s="0">
        <x:v>20</x:v>
      </x:c>
      <x:c r="B21" s="0" t="s">
        <x:v>39</x:v>
      </x:c>
      <x:c r="C21" s="0" t="s">
        <x:v>21</x:v>
      </x:c>
      <x:c r="D21" s="0" t="s">
        <x:v>22</x:v>
      </x:c>
      <x:c r="E21" s="0">
        <x:v>1</x:v>
      </x:c>
      <x:c r="F21" s="0">
        <x:v>4</x:v>
      </x:c>
      <x:c r="G21" s="8">
        <x:v>240.63</x:v>
      </x:c>
      <x:c r="H21" s="8">
        <x:v>962.5</x:v>
      </x:c>
      <x:c r="I21" s="0" t="s">
        <x:v>23</x:v>
      </x:c>
      <x:c r="K21" s="8">
        <x:v>962.5</x:v>
      </x:c>
      <x:c r="L21" s="0" t="s">
        <x:v>24</x:v>
      </x:c>
      <x:c r="M21" s="0" t="s">
        <x:v>25</x:v>
      </x:c>
      <x:c r="N21" s="0" t="s">
        <x:v>26</x:v>
      </x:c>
      <x:c r="P21" s="0" t="s">
        <x:v>27</x:v>
      </x:c>
    </x:row>
    <x:row r="22" spans="1:20">
      <x:c r="A22" s="0">
        <x:v>21</x:v>
      </x:c>
      <x:c r="B22" s="0" t="s">
        <x:v>40</x:v>
      </x:c>
      <x:c r="C22" s="0" t="s">
        <x:v>21</x:v>
      </x:c>
      <x:c r="D22" s="0" t="s">
        <x:v>22</x:v>
      </x:c>
      <x:c r="E22" s="0">
        <x:v>1</x:v>
      </x:c>
      <x:c r="F22" s="0">
        <x:v>2</x:v>
      </x:c>
      <x:c r="G22" s="8">
        <x:v>370</x:v>
      </x:c>
      <x:c r="H22" s="8">
        <x:v>740</x:v>
      </x:c>
      <x:c r="I22" s="0" t="s">
        <x:v>23</x:v>
      </x:c>
      <x:c r="K22" s="8">
        <x:v>740</x:v>
      </x:c>
      <x:c r="L22" s="0" t="s">
        <x:v>24</x:v>
      </x:c>
      <x:c r="M22" s="0" t="s">
        <x:v>25</x:v>
      </x:c>
      <x:c r="N22" s="0" t="s">
        <x:v>26</x:v>
      </x:c>
      <x:c r="P22" s="0" t="s">
        <x:v>27</x:v>
      </x:c>
    </x:row>
    <x:row r="23" spans="1:20">
      <x:c r="A23" s="0">
        <x:v>22</x:v>
      </x:c>
      <x:c r="B23" s="0" t="s">
        <x:v>42</x:v>
      </x:c>
      <x:c r="C23" s="0" t="s">
        <x:v>21</x:v>
      </x:c>
      <x:c r="D23" s="0" t="s">
        <x:v>22</x:v>
      </x:c>
      <x:c r="E23" s="0">
        <x:v>1</x:v>
      </x:c>
      <x:c r="F23" s="0">
        <x:v>2</x:v>
      </x:c>
      <x:c r="G23" s="8">
        <x:v>220</x:v>
      </x:c>
      <x:c r="H23" s="8">
        <x:v>440</x:v>
      </x:c>
      <x:c r="I23" s="0" t="s">
        <x:v>23</x:v>
      </x:c>
      <x:c r="K23" s="8">
        <x:v>440</x:v>
      </x:c>
      <x:c r="L23" s="0" t="s">
        <x:v>24</x:v>
      </x:c>
      <x:c r="M23" s="0" t="s">
        <x:v>25</x:v>
      </x:c>
      <x:c r="N23" s="0" t="s">
        <x:v>26</x:v>
      </x:c>
      <x:c r="P23" s="0" t="s">
        <x:v>27</x:v>
      </x:c>
    </x:row>
    <x:row r="24" spans="1:20">
      <x:c r="A24" s="0">
        <x:v>23</x:v>
      </x:c>
      <x:c r="B24" s="0" t="s">
        <x:v>43</x:v>
      </x:c>
      <x:c r="C24" s="0" t="s">
        <x:v>21</x:v>
      </x:c>
      <x:c r="D24" s="0" t="s">
        <x:v>22</x:v>
      </x:c>
      <x:c r="E24" s="0">
        <x:v>1</x:v>
      </x:c>
      <x:c r="F24" s="0">
        <x:v>2</x:v>
      </x:c>
      <x:c r="G24" s="8">
        <x:v>220</x:v>
      </x:c>
      <x:c r="H24" s="8">
        <x:v>440</x:v>
      </x:c>
      <x:c r="I24" s="0" t="s">
        <x:v>23</x:v>
      </x:c>
      <x:c r="K24" s="8">
        <x:v>440</x:v>
      </x:c>
      <x:c r="L24" s="0" t="s">
        <x:v>24</x:v>
      </x:c>
      <x:c r="M24" s="0" t="s">
        <x:v>25</x:v>
      </x:c>
      <x:c r="N24" s="0" t="s">
        <x:v>26</x:v>
      </x:c>
      <x:c r="P24" s="0" t="s">
        <x:v>27</x:v>
      </x:c>
    </x:row>
    <x:row r="25" spans="1:20">
      <x:c r="A25" s="0">
        <x:v>24</x:v>
      </x:c>
      <x:c r="B25" s="0" t="s">
        <x:v>44</x:v>
      </x:c>
      <x:c r="C25" s="0" t="s">
        <x:v>21</x:v>
      </x:c>
      <x:c r="D25" s="0" t="s">
        <x:v>22</x:v>
      </x:c>
      <x:c r="E25" s="0">
        <x:v>1</x:v>
      </x:c>
      <x:c r="F25" s="0">
        <x:v>1</x:v>
      </x:c>
      <x:c r="G25" s="8">
        <x:v>85</x:v>
      </x:c>
      <x:c r="H25" s="8">
        <x:v>85</x:v>
      </x:c>
      <x:c r="I25" s="0" t="s">
        <x:v>23</x:v>
      </x:c>
      <x:c r="K25" s="8">
        <x:v>85</x:v>
      </x:c>
      <x:c r="L25" s="0" t="s">
        <x:v>24</x:v>
      </x:c>
      <x:c r="M25" s="0" t="s">
        <x:v>25</x:v>
      </x:c>
      <x:c r="N25" s="0" t="s">
        <x:v>26</x:v>
      </x:c>
      <x:c r="P25" s="0" t="s">
        <x:v>27</x:v>
      </x:c>
    </x:row>
    <x:row r="26" spans="1:20">
      <x:c r="A26" s="0">
        <x:v>25</x:v>
      </x:c>
      <x:c r="B26" s="0" t="s">
        <x:v>45</x:v>
      </x:c>
      <x:c r="C26" s="0" t="s">
        <x:v>21</x:v>
      </x:c>
      <x:c r="D26" s="0" t="s">
        <x:v>22</x:v>
      </x:c>
      <x:c r="E26" s="0">
        <x:v>1</x:v>
      </x:c>
      <x:c r="F26" s="0">
        <x:v>4</x:v>
      </x:c>
      <x:c r="G26" s="8">
        <x:v>67.5</x:v>
      </x:c>
      <x:c r="H26" s="8">
        <x:v>270</x:v>
      </x:c>
      <x:c r="I26" s="0" t="s">
        <x:v>23</x:v>
      </x:c>
      <x:c r="K26" s="8">
        <x:v>270</x:v>
      </x:c>
      <x:c r="L26" s="0" t="s">
        <x:v>24</x:v>
      </x:c>
      <x:c r="M26" s="0" t="s">
        <x:v>25</x:v>
      </x:c>
      <x:c r="N26" s="0" t="s">
        <x:v>26</x:v>
      </x:c>
      <x:c r="P26" s="0" t="s">
        <x:v>27</x:v>
      </x:c>
    </x:row>
    <x:row r="27" spans="1:20">
      <x:c r="A27" s="0">
        <x:v>26</x:v>
      </x:c>
      <x:c r="B27" s="0" t="s">
        <x:v>47</x:v>
      </x:c>
      <x:c r="C27" s="0" t="s">
        <x:v>21</x:v>
      </x:c>
      <x:c r="D27" s="0" t="s">
        <x:v>22</x:v>
      </x:c>
      <x:c r="E27" s="0">
        <x:v>1</x:v>
      </x:c>
      <x:c r="F27" s="0">
        <x:v>2</x:v>
      </x:c>
      <x:c r="G27" s="8">
        <x:v>270</x:v>
      </x:c>
      <x:c r="H27" s="8">
        <x:v>540</x:v>
      </x:c>
      <x:c r="I27" s="0" t="s">
        <x:v>23</x:v>
      </x:c>
      <x:c r="K27" s="8">
        <x:v>540</x:v>
      </x:c>
      <x:c r="L27" s="0" t="s">
        <x:v>24</x:v>
      </x:c>
      <x:c r="M27" s="0" t="s">
        <x:v>25</x:v>
      </x:c>
      <x:c r="N27" s="0" t="s">
        <x:v>26</x:v>
      </x:c>
      <x:c r="P27" s="0" t="s">
        <x:v>27</x:v>
      </x:c>
    </x:row>
    <x:row r="28" spans="1:20">
      <x:c r="A28" s="0">
        <x:v>27</x:v>
      </x:c>
      <x:c r="B28" s="0" t="s">
        <x:v>71</x:v>
      </x:c>
      <x:c r="C28" s="0" t="s">
        <x:v>21</x:v>
      </x:c>
      <x:c r="D28" s="0" t="s">
        <x:v>22</x:v>
      </x:c>
      <x:c r="E28" s="0">
        <x:v>1</x:v>
      </x:c>
      <x:c r="F28" s="0">
        <x:v>1</x:v>
      </x:c>
      <x:c r="G28" s="8">
        <x:v>150</x:v>
      </x:c>
      <x:c r="H28" s="8">
        <x:v>150</x:v>
      </x:c>
      <x:c r="I28" s="0" t="s">
        <x:v>23</x:v>
      </x:c>
      <x:c r="K28" s="8">
        <x:v>150</x:v>
      </x:c>
      <x:c r="L28" s="0" t="s">
        <x:v>24</x:v>
      </x:c>
      <x:c r="M28" s="0" t="s">
        <x:v>25</x:v>
      </x:c>
      <x:c r="N28" s="0" t="s">
        <x:v>26</x:v>
      </x:c>
      <x:c r="P28" s="0" t="s">
        <x:v>27</x:v>
      </x:c>
    </x:row>
    <x:row r="29" spans="1:20">
      <x:c r="A29" s="0">
        <x:v>28</x:v>
      </x:c>
      <x:c r="B29" s="0" t="s">
        <x:v>49</x:v>
      </x:c>
      <x:c r="C29" s="0" t="s">
        <x:v>21</x:v>
      </x:c>
      <x:c r="D29" s="0" t="s">
        <x:v>22</x:v>
      </x:c>
      <x:c r="E29" s="0">
        <x:v>1</x:v>
      </x:c>
      <x:c r="F29" s="0">
        <x:v>2</x:v>
      </x:c>
      <x:c r="G29" s="8">
        <x:v>231.25</x:v>
      </x:c>
      <x:c r="H29" s="8">
        <x:v>462.5</x:v>
      </x:c>
      <x:c r="I29" s="0" t="s">
        <x:v>23</x:v>
      </x:c>
      <x:c r="K29" s="8">
        <x:v>462.5</x:v>
      </x:c>
      <x:c r="L29" s="0" t="s">
        <x:v>24</x:v>
      </x:c>
      <x:c r="M29" s="0" t="s">
        <x:v>25</x:v>
      </x:c>
      <x:c r="N29" s="0" t="s">
        <x:v>26</x:v>
      </x:c>
      <x:c r="P29" s="0" t="s">
        <x:v>27</x:v>
      </x:c>
    </x:row>
    <x:row r="30" spans="1:20">
      <x:c r="A30" s="0">
        <x:v>29</x:v>
      </x:c>
      <x:c r="B30" s="0" t="s">
        <x:v>95</x:v>
      </x:c>
      <x:c r="C30" s="0" t="s">
        <x:v>21</x:v>
      </x:c>
      <x:c r="D30" s="0" t="s">
        <x:v>22</x:v>
      </x:c>
      <x:c r="E30" s="0">
        <x:v>1</x:v>
      </x:c>
      <x:c r="F30" s="0">
        <x:v>1</x:v>
      </x:c>
      <x:c r="G30" s="8">
        <x:v>300</x:v>
      </x:c>
      <x:c r="H30" s="8">
        <x:v>300</x:v>
      </x:c>
      <x:c r="I30" s="0" t="s">
        <x:v>23</x:v>
      </x:c>
      <x:c r="K30" s="8">
        <x:v>300</x:v>
      </x:c>
      <x:c r="L30" s="0" t="s">
        <x:v>24</x:v>
      </x:c>
      <x:c r="M30" s="0" t="s">
        <x:v>25</x:v>
      </x:c>
      <x:c r="N30" s="0" t="s">
        <x:v>26</x:v>
      </x:c>
      <x:c r="P30" s="0" t="s">
        <x:v>27</x:v>
      </x:c>
    </x:row>
    <x:row r="31" spans="1:20">
      <x:c r="A31" s="0">
        <x:v>30</x:v>
      </x:c>
      <x:c r="B31" s="0" t="s">
        <x:v>72</x:v>
      </x:c>
      <x:c r="C31" s="0" t="s">
        <x:v>21</x:v>
      </x:c>
      <x:c r="D31" s="0" t="s">
        <x:v>22</x:v>
      </x:c>
      <x:c r="E31" s="0">
        <x:v>1</x:v>
      </x:c>
      <x:c r="F31" s="0">
        <x:v>2</x:v>
      </x:c>
      <x:c r="G31" s="8">
        <x:v>40</x:v>
      </x:c>
      <x:c r="H31" s="8">
        <x:v>80</x:v>
      </x:c>
      <x:c r="I31" s="0" t="s">
        <x:v>23</x:v>
      </x:c>
      <x:c r="K31" s="8">
        <x:v>80</x:v>
      </x:c>
      <x:c r="L31" s="0" t="s">
        <x:v>24</x:v>
      </x:c>
      <x:c r="M31" s="0" t="s">
        <x:v>25</x:v>
      </x:c>
      <x:c r="N31" s="0" t="s">
        <x:v>26</x:v>
      </x:c>
      <x:c r="P31" s="0" t="s">
        <x:v>27</x:v>
      </x:c>
    </x:row>
    <x:row r="32" spans="1:20">
      <x:c r="A32" s="0">
        <x:v>31</x:v>
      </x:c>
      <x:c r="B32" s="0" t="s">
        <x:v>50</x:v>
      </x:c>
      <x:c r="C32" s="0" t="s">
        <x:v>21</x:v>
      </x:c>
      <x:c r="D32" s="0" t="s">
        <x:v>22</x:v>
      </x:c>
      <x:c r="E32" s="0">
        <x:v>1</x:v>
      </x:c>
      <x:c r="F32" s="0">
        <x:v>2</x:v>
      </x:c>
      <x:c r="G32" s="8">
        <x:v>121.5</x:v>
      </x:c>
      <x:c r="H32" s="8">
        <x:v>243</x:v>
      </x:c>
      <x:c r="I32" s="0" t="s">
        <x:v>23</x:v>
      </x:c>
      <x:c r="K32" s="8">
        <x:v>243</x:v>
      </x:c>
      <x:c r="L32" s="0" t="s">
        <x:v>24</x:v>
      </x:c>
      <x:c r="M32" s="0" t="s">
        <x:v>25</x:v>
      </x:c>
      <x:c r="N32" s="0" t="s">
        <x:v>26</x:v>
      </x:c>
      <x:c r="P32" s="0" t="s">
        <x:v>27</x:v>
      </x:c>
    </x:row>
    <x:row r="33" spans="1:20">
      <x:c r="A33" s="0">
        <x:v>32</x:v>
      </x:c>
      <x:c r="B33" s="0" t="s">
        <x:v>51</x:v>
      </x:c>
      <x:c r="C33" s="0" t="s">
        <x:v>21</x:v>
      </x:c>
      <x:c r="D33" s="0" t="s">
        <x:v>22</x:v>
      </x:c>
      <x:c r="E33" s="0">
        <x:v>1</x:v>
      </x:c>
      <x:c r="F33" s="0">
        <x:v>5</x:v>
      </x:c>
      <x:c r="G33" s="8">
        <x:v>49.94</x:v>
      </x:c>
      <x:c r="H33" s="8">
        <x:v>249.69</x:v>
      </x:c>
      <x:c r="I33" s="0" t="s">
        <x:v>23</x:v>
      </x:c>
      <x:c r="K33" s="8">
        <x:v>249.69</x:v>
      </x:c>
      <x:c r="L33" s="0" t="s">
        <x:v>24</x:v>
      </x:c>
      <x:c r="M33" s="0" t="s">
        <x:v>25</x:v>
      </x:c>
      <x:c r="N33" s="0" t="s">
        <x:v>26</x:v>
      </x:c>
      <x:c r="P33" s="0" t="s">
        <x:v>27</x:v>
      </x:c>
    </x:row>
    <x:row r="34" spans="1:20">
      <x:c r="A34" s="0">
        <x:v>33</x:v>
      </x:c>
      <x:c r="B34" s="0" t="s">
        <x:v>52</x:v>
      </x:c>
      <x:c r="C34" s="0" t="s">
        <x:v>21</x:v>
      </x:c>
      <x:c r="D34" s="0" t="s">
        <x:v>22</x:v>
      </x:c>
      <x:c r="E34" s="0">
        <x:v>1</x:v>
      </x:c>
      <x:c r="F34" s="0">
        <x:v>2</x:v>
      </x:c>
      <x:c r="G34" s="8">
        <x:v>249.75</x:v>
      </x:c>
      <x:c r="H34" s="8">
        <x:v>499.5</x:v>
      </x:c>
      <x:c r="I34" s="0" t="s">
        <x:v>23</x:v>
      </x:c>
      <x:c r="K34" s="8">
        <x:v>499.5</x:v>
      </x:c>
      <x:c r="L34" s="0" t="s">
        <x:v>24</x:v>
      </x:c>
      <x:c r="M34" s="0" t="s">
        <x:v>25</x:v>
      </x:c>
      <x:c r="N34" s="0" t="s">
        <x:v>26</x:v>
      </x:c>
      <x:c r="P34" s="0" t="s">
        <x:v>27</x:v>
      </x:c>
    </x:row>
    <x:row r="35" spans="1:20">
      <x:c r="A35" s="0">
        <x:v>34</x:v>
      </x:c>
      <x:c r="B35" s="0" t="s">
        <x:v>137</x:v>
      </x:c>
      <x:c r="C35" s="0" t="s">
        <x:v>21</x:v>
      </x:c>
      <x:c r="D35" s="0" t="s">
        <x:v>22</x:v>
      </x:c>
      <x:c r="E35" s="0">
        <x:v>1</x:v>
      </x:c>
      <x:c r="F35" s="0">
        <x:v>1</x:v>
      </x:c>
      <x:c r="G35" s="8">
        <x:v>250</x:v>
      </x:c>
      <x:c r="H35" s="8">
        <x:v>250</x:v>
      </x:c>
      <x:c r="I35" s="0" t="s">
        <x:v>23</x:v>
      </x:c>
      <x:c r="K35" s="8">
        <x:v>250</x:v>
      </x:c>
      <x:c r="L35" s="0" t="s">
        <x:v>24</x:v>
      </x:c>
      <x:c r="M35" s="0" t="s">
        <x:v>25</x:v>
      </x:c>
      <x:c r="N35" s="0" t="s">
        <x:v>26</x:v>
      </x:c>
      <x:c r="P35" s="0" t="s">
        <x:v>27</x:v>
      </x:c>
    </x:row>
    <x:row r="36" spans="1:20">
      <x:c r="A36" s="0">
        <x:v>35</x:v>
      </x:c>
      <x:c r="B36" s="0" t="s">
        <x:v>54</x:v>
      </x:c>
      <x:c r="C36" s="0" t="s">
        <x:v>21</x:v>
      </x:c>
      <x:c r="D36" s="0" t="s">
        <x:v>22</x:v>
      </x:c>
      <x:c r="E36" s="0">
        <x:v>1</x:v>
      </x:c>
      <x:c r="F36" s="0">
        <x:v>1</x:v>
      </x:c>
      <x:c r="G36" s="8">
        <x:v>230</x:v>
      </x:c>
      <x:c r="H36" s="8">
        <x:v>230</x:v>
      </x:c>
      <x:c r="I36" s="0" t="s">
        <x:v>23</x:v>
      </x:c>
      <x:c r="K36" s="8">
        <x:v>230</x:v>
      </x:c>
      <x:c r="L36" s="0" t="s">
        <x:v>24</x:v>
      </x:c>
      <x:c r="M36" s="0" t="s">
        <x:v>25</x:v>
      </x:c>
      <x:c r="N36" s="0" t="s">
        <x:v>26</x:v>
      </x:c>
      <x:c r="P36" s="0" t="s">
        <x:v>27</x:v>
      </x:c>
    </x:row>
    <x:row r="37" spans="1:20">
      <x:c r="A37" s="0">
        <x:v>36</x:v>
      </x:c>
      <x:c r="B37" s="0" t="s">
        <x:v>55</x:v>
      </x:c>
      <x:c r="C37" s="0" t="s">
        <x:v>21</x:v>
      </x:c>
      <x:c r="D37" s="0" t="s">
        <x:v>22</x:v>
      </x:c>
      <x:c r="E37" s="0">
        <x:v>1</x:v>
      </x:c>
      <x:c r="F37" s="0">
        <x:v>5</x:v>
      </x:c>
      <x:c r="G37" s="8">
        <x:v>332.5</x:v>
      </x:c>
      <x:c r="H37" s="8">
        <x:v>1662.5</x:v>
      </x:c>
      <x:c r="I37" s="0" t="s">
        <x:v>23</x:v>
      </x:c>
      <x:c r="K37" s="8">
        <x:v>1662.5</x:v>
      </x:c>
      <x:c r="L37" s="0" t="s">
        <x:v>24</x:v>
      </x:c>
      <x:c r="M37" s="0" t="s">
        <x:v>25</x:v>
      </x:c>
      <x:c r="N37" s="0" t="s">
        <x:v>26</x:v>
      </x:c>
      <x:c r="P37" s="0" t="s">
        <x:v>27</x:v>
      </x:c>
    </x:row>
    <x:row r="38" spans="1:20">
      <x:c r="A38" s="0">
        <x:v>37</x:v>
      </x:c>
      <x:c r="B38" s="0" t="s">
        <x:v>56</x:v>
      </x:c>
      <x:c r="C38" s="0" t="s">
        <x:v>21</x:v>
      </x:c>
      <x:c r="D38" s="0" t="s">
        <x:v>22</x:v>
      </x:c>
      <x:c r="E38" s="0">
        <x:v>1</x:v>
      </x:c>
      <x:c r="F38" s="0">
        <x:v>1</x:v>
      </x:c>
      <x:c r="G38" s="8">
        <x:v>350</x:v>
      </x:c>
      <x:c r="H38" s="8">
        <x:v>350</x:v>
      </x:c>
      <x:c r="I38" s="0" t="s">
        <x:v>23</x:v>
      </x:c>
      <x:c r="K38" s="8">
        <x:v>350</x:v>
      </x:c>
      <x:c r="L38" s="0" t="s">
        <x:v>24</x:v>
      </x:c>
      <x:c r="M38" s="0" t="s">
        <x:v>25</x:v>
      </x:c>
      <x:c r="N38" s="0" t="s">
        <x:v>26</x:v>
      </x:c>
      <x:c r="P38" s="0" t="s">
        <x:v>27</x:v>
      </x:c>
    </x:row>
    <x:row r="39" spans="1:20">
      <x:c r="A39" s="0">
        <x:v>38</x:v>
      </x:c>
      <x:c r="B39" s="0" t="s">
        <x:v>57</x:v>
      </x:c>
      <x:c r="C39" s="0" t="s">
        <x:v>21</x:v>
      </x:c>
      <x:c r="D39" s="0" t="s">
        <x:v>22</x:v>
      </x:c>
      <x:c r="E39" s="0">
        <x:v>1</x:v>
      </x:c>
      <x:c r="F39" s="0">
        <x:v>5</x:v>
      </x:c>
      <x:c r="G39" s="8">
        <x:v>143</x:v>
      </x:c>
      <x:c r="H39" s="8">
        <x:v>715</x:v>
      </x:c>
      <x:c r="I39" s="0" t="s">
        <x:v>23</x:v>
      </x:c>
      <x:c r="K39" s="8">
        <x:v>715</x:v>
      </x:c>
      <x:c r="L39" s="0" t="s">
        <x:v>24</x:v>
      </x:c>
      <x:c r="M39" s="0" t="s">
        <x:v>25</x:v>
      </x:c>
      <x:c r="N39" s="0" t="s">
        <x:v>26</x:v>
      </x:c>
      <x:c r="P39" s="0" t="s">
        <x:v>27</x:v>
      </x:c>
    </x:row>
    <x:row r="40" spans="1:20">
      <x:c r="A40" s="0">
        <x:v>39</x:v>
      </x:c>
      <x:c r="B40" s="0" t="s">
        <x:v>58</x:v>
      </x:c>
      <x:c r="C40" s="0" t="s">
        <x:v>21</x:v>
      </x:c>
      <x:c r="D40" s="0" t="s">
        <x:v>22</x:v>
      </x:c>
      <x:c r="E40" s="0">
        <x:v>1</x:v>
      </x:c>
      <x:c r="F40" s="0">
        <x:v>1</x:v>
      </x:c>
      <x:c r="G40" s="8">
        <x:v>280</x:v>
      </x:c>
      <x:c r="H40" s="8">
        <x:v>280</x:v>
      </x:c>
      <x:c r="I40" s="0" t="s">
        <x:v>23</x:v>
      </x:c>
      <x:c r="K40" s="8">
        <x:v>280</x:v>
      </x:c>
      <x:c r="L40" s="0" t="s">
        <x:v>24</x:v>
      </x:c>
      <x:c r="M40" s="0" t="s">
        <x:v>25</x:v>
      </x:c>
      <x:c r="N40" s="0" t="s">
        <x:v>26</x:v>
      </x:c>
      <x:c r="P40" s="0" t="s">
        <x:v>27</x:v>
      </x:c>
    </x:row>
    <x:row r="41" spans="1:20">
      <x:c r="A41" s="0">
        <x:v>40</x:v>
      </x:c>
      <x:c r="B41" s="0" t="s">
        <x:v>98</x:v>
      </x:c>
      <x:c r="C41" s="0" t="s">
        <x:v>21</x:v>
      </x:c>
      <x:c r="D41" s="0" t="s">
        <x:v>34</x:v>
      </x:c>
      <x:c r="E41" s="0">
        <x:v>1</x:v>
      </x:c>
      <x:c r="F41" s="0">
        <x:v>0.1</x:v>
      </x:c>
      <x:c r="G41" s="8">
        <x:v>3450</x:v>
      </x:c>
      <x:c r="H41" s="8">
        <x:v>345</x:v>
      </x:c>
      <x:c r="I41" s="0" t="s">
        <x:v>23</x:v>
      </x:c>
      <x:c r="K41" s="8">
        <x:v>345</x:v>
      </x:c>
      <x:c r="L41" s="0" t="s">
        <x:v>24</x:v>
      </x:c>
      <x:c r="M41" s="0" t="s">
        <x:v>25</x:v>
      </x:c>
      <x:c r="N41" s="0" t="s">
        <x:v>26</x:v>
      </x:c>
      <x:c r="P41" s="0" t="s">
        <x:v>27</x:v>
      </x:c>
    </x:row>
    <x:row r="42" spans="1:20">
      <x:c r="A42" s="0">
        <x:v>41</x:v>
      </x:c>
      <x:c r="B42" s="0" t="s">
        <x:v>60</x:v>
      </x:c>
      <x:c r="C42" s="0" t="s">
        <x:v>21</x:v>
      </x:c>
      <x:c r="D42" s="0" t="s">
        <x:v>22</x:v>
      </x:c>
      <x:c r="E42" s="0">
        <x:v>1</x:v>
      </x:c>
      <x:c r="F42" s="0">
        <x:v>2</x:v>
      </x:c>
      <x:c r="G42" s="8">
        <x:v>147.5</x:v>
      </x:c>
      <x:c r="H42" s="8">
        <x:v>295</x:v>
      </x:c>
      <x:c r="I42" s="0" t="s">
        <x:v>23</x:v>
      </x:c>
      <x:c r="K42" s="8">
        <x:v>295</x:v>
      </x:c>
      <x:c r="L42" s="0" t="s">
        <x:v>24</x:v>
      </x:c>
      <x:c r="M42" s="0" t="s">
        <x:v>25</x:v>
      </x:c>
      <x:c r="N42" s="0" t="s">
        <x:v>26</x:v>
      </x:c>
      <x:c r="P42" s="0" t="s">
        <x:v>27</x:v>
      </x:c>
    </x:row>
    <x:row r="43" spans="1:20">
      <x:c r="H43" s="18">
        <x:f>SUM(H2:H42)</x:f>
      </x:c>
    </x:row>
    <x:row r="45" spans="1:20">
      <x:c r="B45" s="19" t="s">
        <x:v>163</x:v>
      </x:c>
      <x:c r="C45" s="20"/>
      <x:c r="D45" s="20"/>
      <x:c r="E45" s="20"/>
      <x:c r="F45" s="20"/>
      <x:c r="G45" s="20"/>
      <x:c r="H45" s="21">
        <x:f>SUM(H46:H48)</x:f>
      </x:c>
      <x:c r="I45" s="22" t="s">
        <x:v>164</x:v>
      </x:c>
    </x:row>
    <x:row r="46" spans="1:20">
      <x:c r="B46" s="21" t="s">
        <x:v>165</x:v>
      </x:c>
      <x:c r="C46" s="21"/>
      <x:c r="D46" s="21"/>
      <x:c r="E46" s="21"/>
      <x:c r="F46" s="20">
        <x:f>F2+F3+F4+F5+F6+F17+F19+F21+F22+F27+F28+F29+F30+F34+F35+F39+F40+F42</x:f>
      </x:c>
      <x:c r="G46" s="20">
        <x:f>G2+G3+G4+G5+G6+G17+G19+G21+G22+G27+G28+G29+G30+G34+G35+G39+G40+G42</x:f>
      </x:c>
      <x:c r="H46" s="20">
        <x:f>H2+H3+H4+H5+H6+H17+H19+H21+H22+H27+H28+H29+H30+H34+H35+H39+H40+H42</x:f>
      </x:c>
      <x:c r="I46" s="15"/>
    </x:row>
    <x:row r="47" spans="1:20">
      <x:c r="B47" s="21" t="s">
        <x:v>166</x:v>
      </x:c>
      <x:c r="C47" s="21"/>
      <x:c r="D47" s="21"/>
      <x:c r="E47" s="21"/>
      <x:c r="F47" s="20">
        <x:f>F18</x:f>
      </x:c>
      <x:c r="G47" s="20">
        <x:f>G18</x:f>
      </x:c>
      <x:c r="H47" s="20">
        <x:f>H18</x:f>
      </x:c>
      <x:c r="I47" s="15"/>
    </x:row>
    <x:row r="48" spans="1:20">
      <x:c r="B48" s="21" t="s">
        <x:v>167</x:v>
      </x:c>
      <x:c r="C48" s="21"/>
      <x:c r="D48" s="21"/>
      <x:c r="E48" s="21"/>
      <x:c r="F48" s="20">
        <x:f>F7+F31+F33</x:f>
      </x:c>
      <x:c r="G48" s="20">
        <x:f>G7+G31+G33</x:f>
      </x:c>
      <x:c r="H48" s="20">
        <x:f>H7+H31+H33</x:f>
      </x:c>
      <x:c r="I48" s="15"/>
    </x:row>
    <x:row r="49" spans="1:20">
      <x:c r="B49" s="19" t="s">
        <x:v>168</x:v>
      </x:c>
      <x:c r="C49" s="20"/>
      <x:c r="D49" s="20"/>
      <x:c r="E49" s="20"/>
      <x:c r="F49" s="20"/>
      <x:c r="G49" s="20"/>
      <x:c r="H49" s="21">
        <x:f>SUM(H50:H56)</x:f>
      </x:c>
      <x:c r="I49" s="22" t="s">
        <x:v>169</x:v>
      </x:c>
    </x:row>
    <x:row r="50" spans="1:20">
      <x:c r="B50" s="21" t="s">
        <x:v>170</x:v>
      </x:c>
      <x:c r="C50" s="21"/>
      <x:c r="D50" s="21"/>
      <x:c r="E50" s="21"/>
      <x:c r="F50" s="20">
        <x:f>F8+F9+F10+F11+F12+F13+F14+F15+F16</x:f>
      </x:c>
      <x:c r="G50" s="20">
        <x:f>G8+G9+G10+G11+G12+G13+G14+G15+G16</x:f>
      </x:c>
      <x:c r="H50" s="20">
        <x:f>H8+H9+H10+H11+H12+H13+H14+H15+H16</x:f>
      </x:c>
      <x:c r="I50" s="15"/>
    </x:row>
    <x:row r="51" spans="1:20">
      <x:c r="B51" s="21" t="s">
        <x:v>171</x:v>
      </x:c>
      <x:c r="C51" s="21"/>
      <x:c r="D51" s="21"/>
      <x:c r="E51" s="21"/>
      <x:c r="F51" s="20"/>
      <x:c r="G51" s="20"/>
      <x:c r="H51" s="20"/>
      <x:c r="I51" s="15"/>
    </x:row>
    <x:row r="52" spans="1:20">
      <x:c r="B52" s="21" t="s">
        <x:v>172</x:v>
      </x:c>
      <x:c r="C52" s="21"/>
      <x:c r="D52" s="21"/>
      <x:c r="E52" s="21"/>
      <x:c r="F52" s="20"/>
      <x:c r="G52" s="20"/>
      <x:c r="H52" s="20"/>
      <x:c r="I52" s="15"/>
    </x:row>
    <x:row r="53" spans="1:20">
      <x:c r="B53" s="21" t="s">
        <x:v>173</x:v>
      </x:c>
      <x:c r="C53" s="21"/>
      <x:c r="D53" s="21"/>
      <x:c r="E53" s="21"/>
      <x:c r="F53" s="20">
        <x:f>F41</x:f>
      </x:c>
      <x:c r="G53" s="20">
        <x:f>G41</x:f>
      </x:c>
      <x:c r="H53" s="20">
        <x:f>H41</x:f>
      </x:c>
      <x:c r="I53" s="15"/>
    </x:row>
    <x:row r="54" spans="1:20">
      <x:c r="B54" s="21" t="s">
        <x:v>174</x:v>
      </x:c>
      <x:c r="C54" s="21"/>
      <x:c r="D54" s="21"/>
      <x:c r="E54" s="21"/>
      <x:c r="F54" s="20"/>
      <x:c r="G54" s="20"/>
      <x:c r="H54" s="20"/>
      <x:c r="I54" s="15"/>
    </x:row>
    <x:row r="55" spans="1:20">
      <x:c r="B55" s="21" t="s">
        <x:v>70</x:v>
      </x:c>
      <x:c r="C55" s="21"/>
      <x:c r="D55" s="21"/>
      <x:c r="E55" s="21"/>
      <x:c r="F55" s="20"/>
      <x:c r="G55" s="20"/>
      <x:c r="H55" s="20"/>
      <x:c r="I55" s="15"/>
    </x:row>
    <x:row r="56" spans="1:20">
      <x:c r="B56" s="21" t="s">
        <x:v>175</x:v>
      </x:c>
      <x:c r="C56" s="21"/>
      <x:c r="D56" s="21"/>
      <x:c r="E56" s="21"/>
      <x:c r="F56" s="20"/>
      <x:c r="G56" s="20"/>
      <x:c r="H56" s="20"/>
      <x:c r="I56" s="15"/>
    </x:row>
    <x:row r="57" spans="1:20">
      <x:c r="B57" s="19" t="s">
        <x:v>176</x:v>
      </x:c>
      <x:c r="C57" s="20"/>
      <x:c r="D57" s="20"/>
      <x:c r="E57" s="20"/>
      <x:c r="F57" s="20"/>
      <x:c r="G57" s="20"/>
      <x:c r="H57" s="21">
        <x:f>SUM(H58:H63)</x:f>
      </x:c>
      <x:c r="I57" s="22" t="s">
        <x:v>177</x:v>
      </x:c>
    </x:row>
    <x:row r="58" spans="1:20">
      <x:c r="B58" s="21" t="s">
        <x:v>178</x:v>
      </x:c>
      <x:c r="C58" s="21"/>
      <x:c r="D58" s="21"/>
      <x:c r="E58" s="21"/>
      <x:c r="F58" s="20"/>
      <x:c r="G58" s="20"/>
      <x:c r="H58" s="20"/>
      <x:c r="I58" s="15"/>
    </x:row>
    <x:row r="59" spans="1:20">
      <x:c r="B59" s="21" t="s">
        <x:v>179</x:v>
      </x:c>
      <x:c r="C59" s="21"/>
      <x:c r="D59" s="21"/>
      <x:c r="E59" s="21"/>
      <x:c r="F59" s="20">
        <x:f>F37</x:f>
      </x:c>
      <x:c r="G59" s="20">
        <x:f>G37</x:f>
      </x:c>
      <x:c r="H59" s="20">
        <x:f>H37</x:f>
      </x:c>
      <x:c r="I59" s="15"/>
    </x:row>
    <x:row r="60" spans="1:20">
      <x:c r="B60" s="21" t="s">
        <x:v>54</x:v>
      </x:c>
      <x:c r="C60" s="21"/>
      <x:c r="D60" s="21"/>
      <x:c r="E60" s="21"/>
      <x:c r="F60" s="20">
        <x:f>F36</x:f>
      </x:c>
      <x:c r="G60" s="20">
        <x:f>G36</x:f>
      </x:c>
      <x:c r="H60" s="20">
        <x:f>H36</x:f>
      </x:c>
      <x:c r="I60" s="15"/>
    </x:row>
    <x:row r="61" spans="1:20">
      <x:c r="B61" s="21" t="s">
        <x:v>180</x:v>
      </x:c>
      <x:c r="C61" s="21"/>
      <x:c r="D61" s="21"/>
      <x:c r="E61" s="21"/>
      <x:c r="F61" s="20">
        <x:f>F20+F23+F24+F38</x:f>
      </x:c>
      <x:c r="G61" s="20">
        <x:f>G20+G23+G24+G38</x:f>
      </x:c>
      <x:c r="H61" s="20">
        <x:f>H20+H23+H24+H38</x:f>
      </x:c>
      <x:c r="I61" s="15"/>
    </x:row>
    <x:row r="62" spans="1:20">
      <x:c r="B62" s="21" t="s">
        <x:v>181</x:v>
      </x:c>
      <x:c r="C62" s="21"/>
      <x:c r="D62" s="21"/>
      <x:c r="E62" s="21"/>
      <x:c r="F62" s="20">
        <x:f>F26+F32</x:f>
      </x:c>
      <x:c r="G62" s="20">
        <x:f>G26+G32</x:f>
      </x:c>
      <x:c r="H62" s="20">
        <x:f>H26+H32</x:f>
      </x:c>
      <x:c r="I62" s="15"/>
    </x:row>
    <x:row r="63" spans="1:20">
      <x:c r="B63" s="21" t="s">
        <x:v>182</x:v>
      </x:c>
      <x:c r="C63" s="21"/>
      <x:c r="D63" s="21"/>
      <x:c r="E63" s="21"/>
      <x:c r="F63" s="20">
        <x:f>F25</x:f>
      </x:c>
      <x:c r="G63" s="20">
        <x:f>G25</x:f>
      </x:c>
      <x:c r="H63" s="20">
        <x:f>H25</x:f>
      </x:c>
      <x:c r="I63" s="15"/>
    </x:row>
    <x:row r="64" spans="1:20">
      <x:c r="B64" s="19" t="s">
        <x:v>183</x:v>
      </x:c>
      <x:c r="C64" s="20"/>
      <x:c r="D64" s="20"/>
      <x:c r="E64" s="20"/>
      <x:c r="F64" s="20"/>
      <x:c r="G64" s="20"/>
      <x:c r="H64" s="21">
        <x:f>SUM(H65:H66)</x:f>
      </x:c>
      <x:c r="I64" s="22"/>
    </x:row>
    <x:row r="65" spans="1:20">
      <x:c r="B65" s="21" t="s">
        <x:v>184</x:v>
      </x:c>
      <x:c r="C65" s="21"/>
      <x:c r="D65" s="21"/>
      <x:c r="E65" s="21"/>
      <x:c r="F65" s="20"/>
      <x:c r="G65" s="20"/>
      <x:c r="H65" s="20"/>
      <x:c r="I65" s="15"/>
    </x:row>
    <x:row r="66" spans="1:20">
      <x:c r="B66" s="21" t="s">
        <x:v>185</x:v>
      </x:c>
      <x:c r="C66" s="21"/>
      <x:c r="D66" s="21"/>
      <x:c r="E66" s="21"/>
      <x:c r="F66" s="20"/>
      <x:c r="G66" s="20"/>
      <x:c r="H66" s="20"/>
      <x:c r="I66" s="15"/>
    </x:row>
    <x:row r="67" spans="1:20">
      <x:c r="B67" s="22"/>
      <x:c r="C67" s="22"/>
      <x:c r="D67" s="22"/>
      <x:c r="E67" s="22"/>
      <x:c r="F67" s="15"/>
      <x:c r="G67" s="15"/>
      <x:c r="H67" s="22">
        <x:f>H45+H49+H57+H64</x:f>
      </x:c>
      <x:c r="I67" s="15"/>
    </x:row>
    <x:row r="68" spans="1:20">
      <x:c r="H68" s="17">
        <x:f>H67 - H43</x:f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BEAA9C7-4C84-EB43-81AE-40F2CF0989ED}" mc:Ignorable="x14ac xr xr2 xr3">
  <x:sheetPr>
    <x:outlinePr summaryBelow="1" summaryRight="1"/>
  </x:sheetPr>
  <x:dimension ref="A1:T38"/>
  <x:sheetViews>
    <x:sheetView topLeftCell="A34" workbookViewId="0">
      <x:selection activeCell="A39" sqref="A39 A39:J65"/>
    </x:sheetView>
  </x:sheetViews>
  <x:sheetFormatPr defaultColWidth="11.210625" defaultRowHeight="15.75"/>
  <x:cols>
    <x:col min="1" max="1" width="11.210625" style="0" customWidth="1"/>
    <x:col min="2" max="2" width="36.5" style="0" customWidth="1"/>
    <x:col min="3" max="3" width="2.875" style="0" customWidth="1"/>
    <x:col min="4" max="4" width="2.5" style="0" customWidth="1"/>
    <x:col min="5" max="5" width="2.375" style="0" customWidth="1"/>
  </x:cols>
  <x:sheetData>
    <x:row r="1" spans="1:2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</x:row>
    <x:row r="2" spans="1:20">
      <x:c r="A2" s="0">
        <x:v>1</x:v>
      </x:c>
      <x:c r="B2" s="0" t="s">
        <x:v>91</x:v>
      </x:c>
      <x:c r="C2" s="0" t="s">
        <x:v>21</x:v>
      </x:c>
      <x:c r="D2" s="0" t="s">
        <x:v>22</x:v>
      </x:c>
      <x:c r="E2" s="0">
        <x:v>1</x:v>
      </x:c>
      <x:c r="F2" s="0">
        <x:v>2</x:v>
      </x:c>
      <x:c r="G2" s="8">
        <x:v>350</x:v>
      </x:c>
      <x:c r="H2" s="8">
        <x:v>700</x:v>
      </x:c>
      <x:c r="I2" s="0" t="s">
        <x:v>23</x:v>
      </x:c>
      <x:c r="K2" s="8">
        <x:v>700</x:v>
      </x:c>
      <x:c r="L2" s="0" t="s">
        <x:v>24</x:v>
      </x:c>
      <x:c r="M2" s="0" t="s">
        <x:v>25</x:v>
      </x:c>
      <x:c r="N2" s="0" t="s">
        <x:v>26</x:v>
      </x:c>
      <x:c r="P2" s="0" t="s">
        <x:v>27</x:v>
      </x:c>
    </x:row>
    <x:row r="3" spans="1:20">
      <x:c r="A3" s="0">
        <x:v>2</x:v>
      </x:c>
      <x:c r="B3" s="0" t="s">
        <x:v>61</x:v>
      </x:c>
      <x:c r="C3" s="0" t="s">
        <x:v>21</x:v>
      </x:c>
      <x:c r="D3" s="0" t="s">
        <x:v>22</x:v>
      </x:c>
      <x:c r="E3" s="0">
        <x:v>1</x:v>
      </x:c>
      <x:c r="F3" s="0">
        <x:v>1</x:v>
      </x:c>
      <x:c r="G3" s="8">
        <x:v>250</x:v>
      </x:c>
      <x:c r="H3" s="8">
        <x:v>250</x:v>
      </x:c>
      <x:c r="I3" s="0" t="s">
        <x:v>23</x:v>
      </x:c>
      <x:c r="K3" s="8">
        <x:v>250</x:v>
      </x:c>
      <x:c r="L3" s="0" t="s">
        <x:v>24</x:v>
      </x:c>
      <x:c r="M3" s="0" t="s">
        <x:v>25</x:v>
      </x:c>
      <x:c r="N3" s="0" t="s">
        <x:v>26</x:v>
      </x:c>
      <x:c r="P3" s="0" t="s">
        <x:v>27</x:v>
      </x:c>
    </x:row>
    <x:row r="4" spans="1:20">
      <x:c r="A4" s="0">
        <x:v>3</x:v>
      </x:c>
      <x:c r="B4" s="0" t="s">
        <x:v>20</x:v>
      </x:c>
      <x:c r="C4" s="0" t="s">
        <x:v>21</x:v>
      </x:c>
      <x:c r="D4" s="0" t="s">
        <x:v>22</x:v>
      </x:c>
      <x:c r="E4" s="0">
        <x:v>1</x:v>
      </x:c>
      <x:c r="F4" s="0">
        <x:v>4</x:v>
      </x:c>
      <x:c r="G4" s="8">
        <x:v>126.23</x:v>
      </x:c>
      <x:c r="H4" s="8">
        <x:v>504.9</x:v>
      </x:c>
      <x:c r="I4" s="0" t="s">
        <x:v>23</x:v>
      </x:c>
      <x:c r="K4" s="8">
        <x:v>504.9</x:v>
      </x:c>
      <x:c r="L4" s="0" t="s">
        <x:v>24</x:v>
      </x:c>
      <x:c r="M4" s="0" t="s">
        <x:v>25</x:v>
      </x:c>
      <x:c r="N4" s="0" t="s">
        <x:v>26</x:v>
      </x:c>
      <x:c r="P4" s="0" t="s">
        <x:v>27</x:v>
      </x:c>
    </x:row>
    <x:row r="5" spans="1:20">
      <x:c r="A5" s="0">
        <x:v>4</x:v>
      </x:c>
      <x:c r="B5" s="0" t="s">
        <x:v>121</x:v>
      </x:c>
      <x:c r="C5" s="0" t="s">
        <x:v>21</x:v>
      </x:c>
      <x:c r="D5" s="0" t="s">
        <x:v>22</x:v>
      </x:c>
      <x:c r="E5" s="0">
        <x:v>1</x:v>
      </x:c>
      <x:c r="F5" s="0">
        <x:v>2</x:v>
      </x:c>
      <x:c r="G5" s="8">
        <x:v>140.43</x:v>
      </x:c>
      <x:c r="H5" s="8">
        <x:v>280.85</x:v>
      </x:c>
      <x:c r="I5" s="0" t="s">
        <x:v>23</x:v>
      </x:c>
      <x:c r="K5" s="8">
        <x:v>280.85</x:v>
      </x:c>
      <x:c r="L5" s="0" t="s">
        <x:v>24</x:v>
      </x:c>
      <x:c r="M5" s="0" t="s">
        <x:v>25</x:v>
      </x:c>
      <x:c r="N5" s="0" t="s">
        <x:v>26</x:v>
      </x:c>
      <x:c r="P5" s="0" t="s">
        <x:v>27</x:v>
      </x:c>
    </x:row>
    <x:row r="6" spans="1:20">
      <x:c r="A6" s="0">
        <x:v>5</x:v>
      </x:c>
      <x:c r="B6" s="0" t="s">
        <x:v>29</x:v>
      </x:c>
      <x:c r="C6" s="0" t="s">
        <x:v>21</x:v>
      </x:c>
      <x:c r="D6" s="0" t="s">
        <x:v>22</x:v>
      </x:c>
      <x:c r="E6" s="0">
        <x:v>1</x:v>
      </x:c>
      <x:c r="F6" s="0">
        <x:v>3</x:v>
      </x:c>
      <x:c r="G6" s="8">
        <x:v>225</x:v>
      </x:c>
      <x:c r="H6" s="8">
        <x:v>675</x:v>
      </x:c>
      <x:c r="I6" s="0" t="s">
        <x:v>23</x:v>
      </x:c>
      <x:c r="K6" s="8">
        <x:v>675</x:v>
      </x:c>
      <x:c r="L6" s="0" t="s">
        <x:v>24</x:v>
      </x:c>
      <x:c r="M6" s="0" t="s">
        <x:v>25</x:v>
      </x:c>
      <x:c r="N6" s="0" t="s">
        <x:v>26</x:v>
      </x:c>
      <x:c r="P6" s="0" t="s">
        <x:v>27</x:v>
      </x:c>
    </x:row>
    <x:row r="7" spans="1:20">
      <x:c r="A7" s="0">
        <x:v>6</x:v>
      </x:c>
      <x:c r="B7" s="0" t="s">
        <x:v>30</x:v>
      </x:c>
      <x:c r="C7" s="0" t="s">
        <x:v>21</x:v>
      </x:c>
      <x:c r="D7" s="0" t="s">
        <x:v>22</x:v>
      </x:c>
      <x:c r="E7" s="0">
        <x:v>1</x:v>
      </x:c>
      <x:c r="F7" s="0">
        <x:v>6</x:v>
      </x:c>
      <x:c r="G7" s="8">
        <x:v>316.25</x:v>
      </x:c>
      <x:c r="H7" s="8">
        <x:v>1897.5</x:v>
      </x:c>
      <x:c r="I7" s="0" t="s">
        <x:v>23</x:v>
      </x:c>
      <x:c r="K7" s="8">
        <x:v>1897.5</x:v>
      </x:c>
      <x:c r="L7" s="0" t="s">
        <x:v>24</x:v>
      </x:c>
      <x:c r="M7" s="0" t="s">
        <x:v>25</x:v>
      </x:c>
      <x:c r="N7" s="0" t="s">
        <x:v>26</x:v>
      </x:c>
      <x:c r="P7" s="0" t="s">
        <x:v>27</x:v>
      </x:c>
    </x:row>
    <x:row r="8" spans="1:20">
      <x:c r="A8" s="0">
        <x:v>7</x:v>
      </x:c>
      <x:c r="B8" s="0" t="s">
        <x:v>31</x:v>
      </x:c>
      <x:c r="C8" s="0" t="s">
        <x:v>21</x:v>
      </x:c>
      <x:c r="D8" s="0" t="s">
        <x:v>22</x:v>
      </x:c>
      <x:c r="E8" s="0">
        <x:v>1</x:v>
      </x:c>
      <x:c r="F8" s="0">
        <x:v>1</x:v>
      </x:c>
      <x:c r="G8" s="8">
        <x:v>100</x:v>
      </x:c>
      <x:c r="H8" s="8">
        <x:v>100</x:v>
      </x:c>
      <x:c r="I8" s="0" t="s">
        <x:v>23</x:v>
      </x:c>
      <x:c r="K8" s="8">
        <x:v>100</x:v>
      </x:c>
      <x:c r="L8" s="0" t="s">
        <x:v>24</x:v>
      </x:c>
      <x:c r="M8" s="0" t="s">
        <x:v>25</x:v>
      </x:c>
      <x:c r="N8" s="0" t="s">
        <x:v>26</x:v>
      </x:c>
      <x:c r="P8" s="0" t="s">
        <x:v>27</x:v>
      </x:c>
    </x:row>
    <x:row r="9" spans="1:20">
      <x:c r="A9" s="0">
        <x:v>8</x:v>
      </x:c>
      <x:c r="B9" s="0" t="s">
        <x:v>133</x:v>
      </x:c>
      <x:c r="C9" s="0" t="s">
        <x:v>21</x:v>
      </x:c>
      <x:c r="D9" s="0" t="s">
        <x:v>22</x:v>
      </x:c>
      <x:c r="E9" s="0">
        <x:v>1</x:v>
      </x:c>
      <x:c r="F9" s="0">
        <x:v>1</x:v>
      </x:c>
      <x:c r="G9" s="8">
        <x:v>640</x:v>
      </x:c>
      <x:c r="H9" s="8">
        <x:v>640</x:v>
      </x:c>
      <x:c r="I9" s="0" t="s">
        <x:v>23</x:v>
      </x:c>
      <x:c r="K9" s="8">
        <x:v>640</x:v>
      </x:c>
      <x:c r="L9" s="0" t="s">
        <x:v>24</x:v>
      </x:c>
      <x:c r="M9" s="0" t="s">
        <x:v>25</x:v>
      </x:c>
      <x:c r="N9" s="0" t="s">
        <x:v>26</x:v>
      </x:c>
      <x:c r="P9" s="0" t="s">
        <x:v>27</x:v>
      </x:c>
    </x:row>
    <x:row r="10" spans="1:20">
      <x:c r="A10" s="0">
        <x:v>9</x:v>
      </x:c>
      <x:c r="B10" s="0" t="s">
        <x:v>32</x:v>
      </x:c>
      <x:c r="C10" s="0" t="s">
        <x:v>21</x:v>
      </x:c>
      <x:c r="D10" s="0" t="s">
        <x:v>22</x:v>
      </x:c>
      <x:c r="E10" s="0">
        <x:v>1</x:v>
      </x:c>
      <x:c r="F10" s="0">
        <x:v>5</x:v>
      </x:c>
      <x:c r="G10" s="8">
        <x:v>73.87</x:v>
      </x:c>
      <x:c r="H10" s="8">
        <x:v>369.36</x:v>
      </x:c>
      <x:c r="I10" s="0" t="s">
        <x:v>23</x:v>
      </x:c>
      <x:c r="K10" s="8">
        <x:v>369.36</x:v>
      </x:c>
      <x:c r="L10" s="0" t="s">
        <x:v>24</x:v>
      </x:c>
      <x:c r="M10" s="0" t="s">
        <x:v>25</x:v>
      </x:c>
      <x:c r="N10" s="0" t="s">
        <x:v>26</x:v>
      </x:c>
      <x:c r="P10" s="0" t="s">
        <x:v>27</x:v>
      </x:c>
    </x:row>
    <x:row r="11" spans="1:20">
      <x:c r="A11" s="0">
        <x:v>10</x:v>
      </x:c>
      <x:c r="B11" s="0" t="s">
        <x:v>134</x:v>
      </x:c>
      <x:c r="C11" s="0" t="s">
        <x:v>21</x:v>
      </x:c>
      <x:c r="D11" s="0" t="s">
        <x:v>34</x:v>
      </x:c>
      <x:c r="E11" s="0">
        <x:v>1</x:v>
      </x:c>
      <x:c r="F11" s="0">
        <x:v>0.1</x:v>
      </x:c>
      <x:c r="G11" s="8">
        <x:v>3476.6</x:v>
      </x:c>
      <x:c r="H11" s="8">
        <x:v>347.66</x:v>
      </x:c>
      <x:c r="I11" s="0" t="s">
        <x:v>23</x:v>
      </x:c>
      <x:c r="K11" s="8">
        <x:v>347.66</x:v>
      </x:c>
      <x:c r="L11" s="0" t="s">
        <x:v>24</x:v>
      </x:c>
      <x:c r="M11" s="0" t="s">
        <x:v>25</x:v>
      </x:c>
      <x:c r="N11" s="0" t="s">
        <x:v>26</x:v>
      </x:c>
      <x:c r="P11" s="0" t="s">
        <x:v>27</x:v>
      </x:c>
    </x:row>
    <x:row r="12" spans="1:20">
      <x:c r="A12" s="0">
        <x:v>11</x:v>
      </x:c>
      <x:c r="B12" s="0" t="s">
        <x:v>63</x:v>
      </x:c>
      <x:c r="C12" s="0" t="s">
        <x:v>21</x:v>
      </x:c>
      <x:c r="D12" s="0" t="s">
        <x:v>34</x:v>
      </x:c>
      <x:c r="E12" s="0">
        <x:v>1</x:v>
      </x:c>
      <x:c r="F12" s="0">
        <x:v>0.1</x:v>
      </x:c>
      <x:c r="G12" s="8">
        <x:v>6580</x:v>
      </x:c>
      <x:c r="H12" s="8">
        <x:v>658</x:v>
      </x:c>
      <x:c r="I12" s="0" t="s">
        <x:v>23</x:v>
      </x:c>
      <x:c r="K12" s="8">
        <x:v>658</x:v>
      </x:c>
      <x:c r="L12" s="0" t="s">
        <x:v>24</x:v>
      </x:c>
      <x:c r="M12" s="0" t="s">
        <x:v>25</x:v>
      </x:c>
      <x:c r="N12" s="0" t="s">
        <x:v>26</x:v>
      </x:c>
      <x:c r="P12" s="0" t="s">
        <x:v>27</x:v>
      </x:c>
    </x:row>
    <x:row r="13" spans="1:20">
      <x:c r="A13" s="0">
        <x:v>12</x:v>
      </x:c>
      <x:c r="B13" s="0" t="s">
        <x:v>82</x:v>
      </x:c>
      <x:c r="C13" s="0" t="s">
        <x:v>21</x:v>
      </x:c>
      <x:c r="D13" s="0" t="s">
        <x:v>34</x:v>
      </x:c>
      <x:c r="E13" s="0">
        <x:v>1</x:v>
      </x:c>
      <x:c r="F13" s="0">
        <x:v>0.1</x:v>
      </x:c>
      <x:c r="G13" s="8">
        <x:v>4980</x:v>
      </x:c>
      <x:c r="H13" s="8">
        <x:v>498</x:v>
      </x:c>
      <x:c r="I13" s="0" t="s">
        <x:v>23</x:v>
      </x:c>
      <x:c r="K13" s="8">
        <x:v>498</x:v>
      </x:c>
      <x:c r="L13" s="0" t="s">
        <x:v>24</x:v>
      </x:c>
      <x:c r="M13" s="0" t="s">
        <x:v>25</x:v>
      </x:c>
      <x:c r="N13" s="0" t="s">
        <x:v>26</x:v>
      </x:c>
      <x:c r="P13" s="0" t="s">
        <x:v>27</x:v>
      </x:c>
    </x:row>
    <x:row r="14" spans="1:20">
      <x:c r="A14" s="0">
        <x:v>13</x:v>
      </x:c>
      <x:c r="B14" s="0" t="s">
        <x:v>114</x:v>
      </x:c>
      <x:c r="C14" s="0" t="s">
        <x:v>21</x:v>
      </x:c>
      <x:c r="D14" s="0" t="s">
        <x:v>34</x:v>
      </x:c>
      <x:c r="E14" s="0">
        <x:v>1</x:v>
      </x:c>
      <x:c r="F14" s="0">
        <x:v>0.2</x:v>
      </x:c>
      <x:c r="G14" s="8">
        <x:v>2380</x:v>
      </x:c>
      <x:c r="H14" s="8">
        <x:v>476</x:v>
      </x:c>
      <x:c r="I14" s="0" t="s">
        <x:v>23</x:v>
      </x:c>
      <x:c r="K14" s="8">
        <x:v>476</x:v>
      </x:c>
      <x:c r="L14" s="0" t="s">
        <x:v>24</x:v>
      </x:c>
      <x:c r="M14" s="0" t="s">
        <x:v>25</x:v>
      </x:c>
      <x:c r="N14" s="0" t="s">
        <x:v>26</x:v>
      </x:c>
      <x:c r="P14" s="0" t="s">
        <x:v>27</x:v>
      </x:c>
    </x:row>
    <x:row r="15" spans="1:20">
      <x:c r="A15" s="0">
        <x:v>14</x:v>
      </x:c>
      <x:c r="B15" s="0" t="s">
        <x:v>70</x:v>
      </x:c>
      <x:c r="C15" s="0" t="s">
        <x:v>21</x:v>
      </x:c>
      <x:c r="D15" s="0" t="s">
        <x:v>22</x:v>
      </x:c>
      <x:c r="E15" s="0">
        <x:v>1</x:v>
      </x:c>
      <x:c r="F15" s="0">
        <x:v>2</x:v>
      </x:c>
      <x:c r="G15" s="8">
        <x:v>250</x:v>
      </x:c>
      <x:c r="H15" s="8">
        <x:v>500</x:v>
      </x:c>
      <x:c r="I15" s="0" t="s">
        <x:v>23</x:v>
      </x:c>
      <x:c r="K15" s="8">
        <x:v>500</x:v>
      </x:c>
      <x:c r="L15" s="0" t="s">
        <x:v>24</x:v>
      </x:c>
      <x:c r="M15" s="0" t="s">
        <x:v>25</x:v>
      </x:c>
      <x:c r="N15" s="0" t="s">
        <x:v>26</x:v>
      </x:c>
      <x:c r="P15" s="0" t="s">
        <x:v>27</x:v>
      </x:c>
    </x:row>
    <x:row r="16" spans="1:20">
      <x:c r="A16" s="0">
        <x:v>15</x:v>
      </x:c>
      <x:c r="B16" s="0" t="s">
        <x:v>94</x:v>
      </x:c>
      <x:c r="C16" s="0" t="s">
        <x:v>21</x:v>
      </x:c>
      <x:c r="D16" s="0" t="s">
        <x:v>22</x:v>
      </x:c>
      <x:c r="E16" s="0">
        <x:v>1</x:v>
      </x:c>
      <x:c r="F16" s="0">
        <x:v>1</x:v>
      </x:c>
      <x:c r="G16" s="8">
        <x:v>85</x:v>
      </x:c>
      <x:c r="H16" s="8">
        <x:v>85</x:v>
      </x:c>
      <x:c r="I16" s="0" t="s">
        <x:v>23</x:v>
      </x:c>
      <x:c r="K16" s="8">
        <x:v>85</x:v>
      </x:c>
      <x:c r="L16" s="0" t="s">
        <x:v>24</x:v>
      </x:c>
      <x:c r="M16" s="0" t="s">
        <x:v>25</x:v>
      </x:c>
      <x:c r="N16" s="0" t="s">
        <x:v>26</x:v>
      </x:c>
      <x:c r="P16" s="0" t="s">
        <x:v>27</x:v>
      </x:c>
    </x:row>
    <x:row r="17" spans="1:20">
      <x:c r="A17" s="0">
        <x:v>16</x:v>
      </x:c>
      <x:c r="B17" s="0" t="s">
        <x:v>37</x:v>
      </x:c>
      <x:c r="C17" s="0" t="s">
        <x:v>21</x:v>
      </x:c>
      <x:c r="D17" s="0" t="s">
        <x:v>22</x:v>
      </x:c>
      <x:c r="E17" s="0">
        <x:v>1</x:v>
      </x:c>
      <x:c r="F17" s="0">
        <x:v>1</x:v>
      </x:c>
      <x:c r="G17" s="8">
        <x:v>350</x:v>
      </x:c>
      <x:c r="H17" s="8">
        <x:v>350</x:v>
      </x:c>
      <x:c r="I17" s="0" t="s">
        <x:v>23</x:v>
      </x:c>
      <x:c r="K17" s="8">
        <x:v>350</x:v>
      </x:c>
      <x:c r="L17" s="0" t="s">
        <x:v>24</x:v>
      </x:c>
      <x:c r="M17" s="0" t="s">
        <x:v>25</x:v>
      </x:c>
      <x:c r="N17" s="0" t="s">
        <x:v>26</x:v>
      </x:c>
      <x:c r="P17" s="0" t="s">
        <x:v>27</x:v>
      </x:c>
    </x:row>
    <x:row r="18" spans="1:20">
      <x:c r="A18" s="0">
        <x:v>17</x:v>
      </x:c>
      <x:c r="B18" s="0" t="s">
        <x:v>126</x:v>
      </x:c>
      <x:c r="C18" s="0" t="s">
        <x:v>21</x:v>
      </x:c>
      <x:c r="D18" s="0" t="s">
        <x:v>22</x:v>
      </x:c>
      <x:c r="E18" s="0">
        <x:v>1</x:v>
      </x:c>
      <x:c r="F18" s="0">
        <x:v>1</x:v>
      </x:c>
      <x:c r="G18" s="8">
        <x:v>180</x:v>
      </x:c>
      <x:c r="H18" s="8">
        <x:v>180</x:v>
      </x:c>
      <x:c r="I18" s="0" t="s">
        <x:v>23</x:v>
      </x:c>
      <x:c r="K18" s="8">
        <x:v>180</x:v>
      </x:c>
      <x:c r="L18" s="0" t="s">
        <x:v>24</x:v>
      </x:c>
      <x:c r="M18" s="0" t="s">
        <x:v>25</x:v>
      </x:c>
      <x:c r="N18" s="0" t="s">
        <x:v>26</x:v>
      </x:c>
      <x:c r="P18" s="0" t="s">
        <x:v>27</x:v>
      </x:c>
    </x:row>
    <x:row r="19" spans="1:20">
      <x:c r="A19" s="0">
        <x:v>18</x:v>
      </x:c>
      <x:c r="B19" s="0" t="s">
        <x:v>39</x:v>
      </x:c>
      <x:c r="C19" s="0" t="s">
        <x:v>21</x:v>
      </x:c>
      <x:c r="D19" s="0" t="s">
        <x:v>22</x:v>
      </x:c>
      <x:c r="E19" s="0">
        <x:v>1</x:v>
      </x:c>
      <x:c r="F19" s="0">
        <x:v>7</x:v>
      </x:c>
      <x:c r="G19" s="8">
        <x:v>250</x:v>
      </x:c>
      <x:c r="H19" s="8">
        <x:v>1750</x:v>
      </x:c>
      <x:c r="I19" s="0" t="s">
        <x:v>23</x:v>
      </x:c>
      <x:c r="K19" s="8">
        <x:v>1750</x:v>
      </x:c>
      <x:c r="L19" s="0" t="s">
        <x:v>24</x:v>
      </x:c>
      <x:c r="M19" s="0" t="s">
        <x:v>25</x:v>
      </x:c>
      <x:c r="N19" s="0" t="s">
        <x:v>26</x:v>
      </x:c>
      <x:c r="P19" s="0" t="s">
        <x:v>27</x:v>
      </x:c>
    </x:row>
    <x:row r="20" spans="1:20">
      <x:c r="A20" s="0">
        <x:v>19</x:v>
      </x:c>
      <x:c r="B20" s="0" t="s">
        <x:v>142</x:v>
      </x:c>
      <x:c r="C20" s="0" t="s">
        <x:v>21</x:v>
      </x:c>
      <x:c r="D20" s="0" t="s">
        <x:v>34</x:v>
      </x:c>
      <x:c r="E20" s="0">
        <x:v>1</x:v>
      </x:c>
      <x:c r="F20" s="0">
        <x:v>0.173</x:v>
      </x:c>
      <x:c r="G20" s="8">
        <x:v>1678.27</x:v>
      </x:c>
      <x:c r="H20" s="8">
        <x:v>290.34</x:v>
      </x:c>
      <x:c r="I20" s="0" t="s">
        <x:v>23</x:v>
      </x:c>
      <x:c r="K20" s="8">
        <x:v>290.34</x:v>
      </x:c>
      <x:c r="L20" s="0" t="s">
        <x:v>24</x:v>
      </x:c>
      <x:c r="M20" s="0" t="s">
        <x:v>25</x:v>
      </x:c>
      <x:c r="N20" s="0" t="s">
        <x:v>26</x:v>
      </x:c>
      <x:c r="P20" s="0" t="s">
        <x:v>27</x:v>
      </x:c>
    </x:row>
    <x:row r="21" spans="1:20">
      <x:c r="A21" s="0">
        <x:v>20</x:v>
      </x:c>
      <x:c r="B21" s="0" t="s">
        <x:v>40</x:v>
      </x:c>
      <x:c r="C21" s="0" t="s">
        <x:v>21</x:v>
      </x:c>
      <x:c r="D21" s="0" t="s">
        <x:v>22</x:v>
      </x:c>
      <x:c r="E21" s="0">
        <x:v>1</x:v>
      </x:c>
      <x:c r="F21" s="0">
        <x:v>3</x:v>
      </x:c>
      <x:c r="G21" s="8">
        <x:v>400</x:v>
      </x:c>
      <x:c r="H21" s="8">
        <x:v>1200</x:v>
      </x:c>
      <x:c r="I21" s="0" t="s">
        <x:v>23</x:v>
      </x:c>
      <x:c r="K21" s="8">
        <x:v>1200</x:v>
      </x:c>
      <x:c r="L21" s="0" t="s">
        <x:v>24</x:v>
      </x:c>
      <x:c r="M21" s="0" t="s">
        <x:v>25</x:v>
      </x:c>
      <x:c r="N21" s="0" t="s">
        <x:v>26</x:v>
      </x:c>
      <x:c r="P21" s="0" t="s">
        <x:v>27</x:v>
      </x:c>
    </x:row>
    <x:row r="22" spans="1:20">
      <x:c r="A22" s="0">
        <x:v>21</x:v>
      </x:c>
      <x:c r="B22" s="0" t="s">
        <x:v>41</x:v>
      </x:c>
      <x:c r="C22" s="0" t="s">
        <x:v>21</x:v>
      </x:c>
      <x:c r="D22" s="0" t="s">
        <x:v>22</x:v>
      </x:c>
      <x:c r="E22" s="0">
        <x:v>1</x:v>
      </x:c>
      <x:c r="F22" s="0">
        <x:v>1</x:v>
      </x:c>
      <x:c r="G22" s="8">
        <x:v>300</x:v>
      </x:c>
      <x:c r="H22" s="8">
        <x:v>300</x:v>
      </x:c>
      <x:c r="I22" s="0" t="s">
        <x:v>23</x:v>
      </x:c>
      <x:c r="K22" s="8">
        <x:v>300</x:v>
      </x:c>
      <x:c r="L22" s="0" t="s">
        <x:v>24</x:v>
      </x:c>
      <x:c r="M22" s="0" t="s">
        <x:v>25</x:v>
      </x:c>
      <x:c r="N22" s="0" t="s">
        <x:v>26</x:v>
      </x:c>
      <x:c r="P22" s="0" t="s">
        <x:v>27</x:v>
      </x:c>
    </x:row>
    <x:row r="23" spans="1:20">
      <x:c r="A23" s="0">
        <x:v>22</x:v>
      </x:c>
      <x:c r="B23" s="0" t="s">
        <x:v>44</x:v>
      </x:c>
      <x:c r="C23" s="0" t="s">
        <x:v>21</x:v>
      </x:c>
      <x:c r="D23" s="0" t="s">
        <x:v>22</x:v>
      </x:c>
      <x:c r="E23" s="0">
        <x:v>1</x:v>
      </x:c>
      <x:c r="F23" s="0">
        <x:v>1</x:v>
      </x:c>
      <x:c r="G23" s="8">
        <x:v>31.1</x:v>
      </x:c>
      <x:c r="H23" s="8">
        <x:v>31.1</x:v>
      </x:c>
      <x:c r="I23" s="0" t="s">
        <x:v>23</x:v>
      </x:c>
      <x:c r="K23" s="8">
        <x:v>31.1</x:v>
      </x:c>
      <x:c r="L23" s="0" t="s">
        <x:v>24</x:v>
      </x:c>
      <x:c r="M23" s="0" t="s">
        <x:v>25</x:v>
      </x:c>
      <x:c r="N23" s="0" t="s">
        <x:v>26</x:v>
      </x:c>
      <x:c r="P23" s="0" t="s">
        <x:v>27</x:v>
      </x:c>
    </x:row>
    <x:row r="24" spans="1:20">
      <x:c r="A24" s="0">
        <x:v>23</x:v>
      </x:c>
      <x:c r="B24" s="0" t="s">
        <x:v>45</x:v>
      </x:c>
      <x:c r="C24" s="0" t="s">
        <x:v>21</x:v>
      </x:c>
      <x:c r="D24" s="0" t="s">
        <x:v>22</x:v>
      </x:c>
      <x:c r="E24" s="0">
        <x:v>1</x:v>
      </x:c>
      <x:c r="F24" s="0">
        <x:v>2</x:v>
      </x:c>
      <x:c r="G24" s="8">
        <x:v>107.54</x:v>
      </x:c>
      <x:c r="H24" s="8">
        <x:v>215.07</x:v>
      </x:c>
      <x:c r="I24" s="0" t="s">
        <x:v>23</x:v>
      </x:c>
      <x:c r="K24" s="8">
        <x:v>215.07</x:v>
      </x:c>
      <x:c r="L24" s="0" t="s">
        <x:v>24</x:v>
      </x:c>
      <x:c r="M24" s="0" t="s">
        <x:v>25</x:v>
      </x:c>
      <x:c r="N24" s="0" t="s">
        <x:v>26</x:v>
      </x:c>
      <x:c r="P24" s="0" t="s">
        <x:v>27</x:v>
      </x:c>
    </x:row>
    <x:row r="25" spans="1:20">
      <x:c r="A25" s="0">
        <x:v>24</x:v>
      </x:c>
      <x:c r="B25" s="0" t="s">
        <x:v>46</x:v>
      </x:c>
      <x:c r="C25" s="0" t="s">
        <x:v>21</x:v>
      </x:c>
      <x:c r="D25" s="0" t="s">
        <x:v>22</x:v>
      </x:c>
      <x:c r="E25" s="0">
        <x:v>1</x:v>
      </x:c>
      <x:c r="F25" s="0">
        <x:v>3</x:v>
      </x:c>
      <x:c r="G25" s="8">
        <x:v>118.67</x:v>
      </x:c>
      <x:c r="H25" s="8">
        <x:v>356</x:v>
      </x:c>
      <x:c r="I25" s="0" t="s">
        <x:v>23</x:v>
      </x:c>
      <x:c r="K25" s="8">
        <x:v>356</x:v>
      </x:c>
      <x:c r="L25" s="0" t="s">
        <x:v>24</x:v>
      </x:c>
      <x:c r="M25" s="0" t="s">
        <x:v>25</x:v>
      </x:c>
      <x:c r="N25" s="0" t="s">
        <x:v>26</x:v>
      </x:c>
      <x:c r="P25" s="0" t="s">
        <x:v>27</x:v>
      </x:c>
    </x:row>
    <x:row r="26" spans="1:20">
      <x:c r="A26" s="0">
        <x:v>25</x:v>
      </x:c>
      <x:c r="B26" s="0" t="s">
        <x:v>47</x:v>
      </x:c>
      <x:c r="C26" s="0" t="s">
        <x:v>21</x:v>
      </x:c>
      <x:c r="D26" s="0" t="s">
        <x:v>22</x:v>
      </x:c>
      <x:c r="E26" s="0">
        <x:v>1</x:v>
      </x:c>
      <x:c r="F26" s="0">
        <x:v>6</x:v>
      </x:c>
      <x:c r="G26" s="8">
        <x:v>268</x:v>
      </x:c>
      <x:c r="H26" s="8">
        <x:v>1608</x:v>
      </x:c>
      <x:c r="I26" s="0" t="s">
        <x:v>23</x:v>
      </x:c>
      <x:c r="K26" s="8">
        <x:v>1608</x:v>
      </x:c>
      <x:c r="L26" s="0" t="s">
        <x:v>24</x:v>
      </x:c>
      <x:c r="M26" s="0" t="s">
        <x:v>25</x:v>
      </x:c>
      <x:c r="N26" s="0" t="s">
        <x:v>26</x:v>
      </x:c>
      <x:c r="P26" s="0" t="s">
        <x:v>27</x:v>
      </x:c>
    </x:row>
    <x:row r="27" spans="1:20">
      <x:c r="A27" s="0">
        <x:v>26</x:v>
      </x:c>
      <x:c r="B27" s="0" t="s">
        <x:v>71</x:v>
      </x:c>
      <x:c r="C27" s="0" t="s">
        <x:v>21</x:v>
      </x:c>
      <x:c r="D27" s="0" t="s">
        <x:v>22</x:v>
      </x:c>
      <x:c r="E27" s="0">
        <x:v>1</x:v>
      </x:c>
      <x:c r="F27" s="0">
        <x:v>4</x:v>
      </x:c>
      <x:c r="G27" s="8">
        <x:v>150</x:v>
      </x:c>
      <x:c r="H27" s="8">
        <x:v>600</x:v>
      </x:c>
      <x:c r="I27" s="0" t="s">
        <x:v>23</x:v>
      </x:c>
      <x:c r="K27" s="8">
        <x:v>600</x:v>
      </x:c>
      <x:c r="L27" s="0" t="s">
        <x:v>24</x:v>
      </x:c>
      <x:c r="M27" s="0" t="s">
        <x:v>25</x:v>
      </x:c>
      <x:c r="N27" s="0" t="s">
        <x:v>26</x:v>
      </x:c>
      <x:c r="P27" s="0" t="s">
        <x:v>27</x:v>
      </x:c>
    </x:row>
    <x:row r="28" spans="1:20">
      <x:c r="A28" s="0">
        <x:v>27</x:v>
      </x:c>
      <x:c r="B28" s="0" t="s">
        <x:v>49</x:v>
      </x:c>
      <x:c r="C28" s="0" t="s">
        <x:v>21</x:v>
      </x:c>
      <x:c r="D28" s="0" t="s">
        <x:v>22</x:v>
      </x:c>
      <x:c r="E28" s="0">
        <x:v>1</x:v>
      </x:c>
      <x:c r="F28" s="0">
        <x:v>1</x:v>
      </x:c>
      <x:c r="G28" s="8">
        <x:v>250</x:v>
      </x:c>
      <x:c r="H28" s="8">
        <x:v>250</x:v>
      </x:c>
      <x:c r="I28" s="0" t="s">
        <x:v>23</x:v>
      </x:c>
      <x:c r="K28" s="8">
        <x:v>250</x:v>
      </x:c>
      <x:c r="L28" s="0" t="s">
        <x:v>24</x:v>
      </x:c>
      <x:c r="M28" s="0" t="s">
        <x:v>25</x:v>
      </x:c>
      <x:c r="N28" s="0" t="s">
        <x:v>26</x:v>
      </x:c>
      <x:c r="P28" s="0" t="s">
        <x:v>27</x:v>
      </x:c>
    </x:row>
    <x:row r="29" spans="1:20">
      <x:c r="A29" s="0">
        <x:v>28</x:v>
      </x:c>
      <x:c r="B29" s="0" t="s">
        <x:v>95</x:v>
      </x:c>
      <x:c r="C29" s="0" t="s">
        <x:v>21</x:v>
      </x:c>
      <x:c r="D29" s="0" t="s">
        <x:v>22</x:v>
      </x:c>
      <x:c r="E29" s="0">
        <x:v>1</x:v>
      </x:c>
      <x:c r="F29" s="0">
        <x:v>3</x:v>
      </x:c>
      <x:c r="G29" s="8">
        <x:v>287.23</x:v>
      </x:c>
      <x:c r="H29" s="8">
        <x:v>861.7</x:v>
      </x:c>
      <x:c r="I29" s="0" t="s">
        <x:v>23</x:v>
      </x:c>
      <x:c r="K29" s="8">
        <x:v>861.7</x:v>
      </x:c>
      <x:c r="L29" s="0" t="s">
        <x:v>24</x:v>
      </x:c>
      <x:c r="M29" s="0" t="s">
        <x:v>25</x:v>
      </x:c>
      <x:c r="N29" s="0" t="s">
        <x:v>26</x:v>
      </x:c>
      <x:c r="P29" s="0" t="s">
        <x:v>27</x:v>
      </x:c>
    </x:row>
    <x:row r="30" spans="1:20">
      <x:c r="A30" s="0">
        <x:v>29</x:v>
      </x:c>
      <x:c r="B30" s="0" t="s">
        <x:v>50</x:v>
      </x:c>
      <x:c r="C30" s="0" t="s">
        <x:v>21</x:v>
      </x:c>
      <x:c r="D30" s="0" t="s">
        <x:v>22</x:v>
      </x:c>
      <x:c r="E30" s="0">
        <x:v>1</x:v>
      </x:c>
      <x:c r="F30" s="0">
        <x:v>2</x:v>
      </x:c>
      <x:c r="G30" s="8">
        <x:v>135</x:v>
      </x:c>
      <x:c r="H30" s="8">
        <x:v>270</x:v>
      </x:c>
      <x:c r="I30" s="0" t="s">
        <x:v>23</x:v>
      </x:c>
      <x:c r="K30" s="8">
        <x:v>270</x:v>
      </x:c>
      <x:c r="L30" s="0" t="s">
        <x:v>24</x:v>
      </x:c>
      <x:c r="M30" s="0" t="s">
        <x:v>25</x:v>
      </x:c>
      <x:c r="N30" s="0" t="s">
        <x:v>26</x:v>
      </x:c>
      <x:c r="P30" s="0" t="s">
        <x:v>27</x:v>
      </x:c>
    </x:row>
    <x:row r="31" spans="1:20">
      <x:c r="A31" s="0">
        <x:v>30</x:v>
      </x:c>
      <x:c r="B31" s="0" t="s">
        <x:v>51</x:v>
      </x:c>
      <x:c r="C31" s="0" t="s">
        <x:v>21</x:v>
      </x:c>
      <x:c r="D31" s="0" t="s">
        <x:v>22</x:v>
      </x:c>
      <x:c r="E31" s="0">
        <x:v>1</x:v>
      </x:c>
      <x:c r="F31" s="0">
        <x:v>4</x:v>
      </x:c>
      <x:c r="G31" s="8">
        <x:v>56.17</x:v>
      </x:c>
      <x:c r="H31" s="8">
        <x:v>224.67</x:v>
      </x:c>
      <x:c r="I31" s="0" t="s">
        <x:v>23</x:v>
      </x:c>
      <x:c r="K31" s="8">
        <x:v>224.67</x:v>
      </x:c>
      <x:c r="L31" s="0" t="s">
        <x:v>24</x:v>
      </x:c>
      <x:c r="M31" s="0" t="s">
        <x:v>25</x:v>
      </x:c>
      <x:c r="N31" s="0" t="s">
        <x:v>26</x:v>
      </x:c>
      <x:c r="P31" s="0" t="s">
        <x:v>27</x:v>
      </x:c>
    </x:row>
    <x:row r="32" spans="1:20">
      <x:c r="A32" s="0">
        <x:v>31</x:v>
      </x:c>
      <x:c r="B32" s="0" t="s">
        <x:v>52</x:v>
      </x:c>
      <x:c r="C32" s="0" t="s">
        <x:v>21</x:v>
      </x:c>
      <x:c r="D32" s="0" t="s">
        <x:v>22</x:v>
      </x:c>
      <x:c r="E32" s="0">
        <x:v>1</x:v>
      </x:c>
      <x:c r="F32" s="0">
        <x:v>3</x:v>
      </x:c>
      <x:c r="G32" s="8">
        <x:v>265.98</x:v>
      </x:c>
      <x:c r="H32" s="8">
        <x:v>797.93</x:v>
      </x:c>
      <x:c r="I32" s="0" t="s">
        <x:v>23</x:v>
      </x:c>
      <x:c r="K32" s="8">
        <x:v>797.93</x:v>
      </x:c>
      <x:c r="L32" s="0" t="s">
        <x:v>24</x:v>
      </x:c>
      <x:c r="M32" s="0" t="s">
        <x:v>25</x:v>
      </x:c>
      <x:c r="N32" s="0" t="s">
        <x:v>26</x:v>
      </x:c>
      <x:c r="P32" s="0" t="s">
        <x:v>27</x:v>
      </x:c>
    </x:row>
    <x:row r="33" spans="1:20">
      <x:c r="A33" s="0">
        <x:v>32</x:v>
      </x:c>
      <x:c r="B33" s="0" t="s">
        <x:v>53</x:v>
      </x:c>
      <x:c r="C33" s="0" t="s">
        <x:v>21</x:v>
      </x:c>
      <x:c r="D33" s="0" t="s">
        <x:v>22</x:v>
      </x:c>
      <x:c r="E33" s="0">
        <x:v>1</x:v>
      </x:c>
      <x:c r="F33" s="0">
        <x:v>3</x:v>
      </x:c>
      <x:c r="G33" s="8">
        <x:v>38.67</x:v>
      </x:c>
      <x:c r="H33" s="8">
        <x:v>116</x:v>
      </x:c>
      <x:c r="I33" s="0" t="s">
        <x:v>23</x:v>
      </x:c>
      <x:c r="K33" s="8">
        <x:v>116</x:v>
      </x:c>
      <x:c r="L33" s="0" t="s">
        <x:v>24</x:v>
      </x:c>
      <x:c r="M33" s="0" t="s">
        <x:v>25</x:v>
      </x:c>
      <x:c r="N33" s="0" t="s">
        <x:v>26</x:v>
      </x:c>
      <x:c r="P33" s="0" t="s">
        <x:v>27</x:v>
      </x:c>
    </x:row>
    <x:row r="34" spans="1:20">
      <x:c r="A34" s="0">
        <x:v>33</x:v>
      </x:c>
      <x:c r="B34" s="0" t="s">
        <x:v>55</x:v>
      </x:c>
      <x:c r="C34" s="0" t="s">
        <x:v>21</x:v>
      </x:c>
      <x:c r="D34" s="0" t="s">
        <x:v>22</x:v>
      </x:c>
      <x:c r="E34" s="0">
        <x:v>1</x:v>
      </x:c>
      <x:c r="F34" s="0">
        <x:v>5</x:v>
      </x:c>
      <x:c r="G34" s="8">
        <x:v>334.06</x:v>
      </x:c>
      <x:c r="H34" s="8">
        <x:v>1670.32</x:v>
      </x:c>
      <x:c r="I34" s="0" t="s">
        <x:v>23</x:v>
      </x:c>
      <x:c r="K34" s="8">
        <x:v>1670.32</x:v>
      </x:c>
      <x:c r="L34" s="0" t="s">
        <x:v>24</x:v>
      </x:c>
      <x:c r="M34" s="0" t="s">
        <x:v>25</x:v>
      </x:c>
      <x:c r="N34" s="0" t="s">
        <x:v>26</x:v>
      </x:c>
      <x:c r="P34" s="0" t="s">
        <x:v>27</x:v>
      </x:c>
    </x:row>
    <x:row r="35" spans="1:20">
      <x:c r="A35" s="0">
        <x:v>34</x:v>
      </x:c>
      <x:c r="B35" s="0" t="s">
        <x:v>56</x:v>
      </x:c>
      <x:c r="C35" s="0" t="s">
        <x:v>21</x:v>
      </x:c>
      <x:c r="D35" s="0" t="s">
        <x:v>22</x:v>
      </x:c>
      <x:c r="E35" s="0">
        <x:v>1</x:v>
      </x:c>
      <x:c r="F35" s="0">
        <x:v>1</x:v>
      </x:c>
      <x:c r="G35" s="8">
        <x:v>350</x:v>
      </x:c>
      <x:c r="H35" s="8">
        <x:v>350</x:v>
      </x:c>
      <x:c r="I35" s="0" t="s">
        <x:v>23</x:v>
      </x:c>
      <x:c r="K35" s="8">
        <x:v>350</x:v>
      </x:c>
      <x:c r="L35" s="0" t="s">
        <x:v>24</x:v>
      </x:c>
      <x:c r="M35" s="0" t="s">
        <x:v>25</x:v>
      </x:c>
      <x:c r="N35" s="0" t="s">
        <x:v>26</x:v>
      </x:c>
      <x:c r="P35" s="0" t="s">
        <x:v>27</x:v>
      </x:c>
    </x:row>
    <x:row r="36" spans="1:20">
      <x:c r="A36" s="0">
        <x:v>35</x:v>
      </x:c>
      <x:c r="B36" s="0" t="s">
        <x:v>57</x:v>
      </x:c>
      <x:c r="C36" s="0" t="s">
        <x:v>21</x:v>
      </x:c>
      <x:c r="D36" s="0" t="s">
        <x:v>22</x:v>
      </x:c>
      <x:c r="E36" s="0">
        <x:v>1</x:v>
      </x:c>
      <x:c r="F36" s="0">
        <x:v>3</x:v>
      </x:c>
      <x:c r="G36" s="8">
        <x:v>143.61</x:v>
      </x:c>
      <x:c r="H36" s="8">
        <x:v>430.84</x:v>
      </x:c>
      <x:c r="I36" s="0" t="s">
        <x:v>23</x:v>
      </x:c>
      <x:c r="K36" s="8">
        <x:v>430.84</x:v>
      </x:c>
      <x:c r="L36" s="0" t="s">
        <x:v>24</x:v>
      </x:c>
      <x:c r="M36" s="0" t="s">
        <x:v>25</x:v>
      </x:c>
      <x:c r="N36" s="0" t="s">
        <x:v>26</x:v>
      </x:c>
      <x:c r="P36" s="0" t="s">
        <x:v>27</x:v>
      </x:c>
    </x:row>
    <x:row r="37" spans="1:20">
      <x:c r="A37" s="0">
        <x:v>36</x:v>
      </x:c>
      <x:c r="B37" s="0" t="s">
        <x:v>58</x:v>
      </x:c>
      <x:c r="C37" s="0" t="s">
        <x:v>21</x:v>
      </x:c>
      <x:c r="D37" s="0" t="s">
        <x:v>22</x:v>
      </x:c>
      <x:c r="E37" s="0">
        <x:v>1</x:v>
      </x:c>
      <x:c r="F37" s="0">
        <x:v>2</x:v>
      </x:c>
      <x:c r="G37" s="8">
        <x:v>262.13</x:v>
      </x:c>
      <x:c r="H37" s="8">
        <x:v>524.26</x:v>
      </x:c>
      <x:c r="I37" s="0" t="s">
        <x:v>23</x:v>
      </x:c>
      <x:c r="K37" s="8">
        <x:v>524.26</x:v>
      </x:c>
      <x:c r="L37" s="0" t="s">
        <x:v>24</x:v>
      </x:c>
      <x:c r="M37" s="0" t="s">
        <x:v>25</x:v>
      </x:c>
      <x:c r="N37" s="0" t="s">
        <x:v>26</x:v>
      </x:c>
      <x:c r="P37" s="0" t="s">
        <x:v>27</x:v>
      </x:c>
    </x:row>
    <x:row r="38" spans="1:20">
      <x:c r="A38" s="0">
        <x:v>37</x:v>
      </x:c>
      <x:c r="B38" s="0" t="s">
        <x:v>60</x:v>
      </x:c>
      <x:c r="C38" s="0" t="s">
        <x:v>21</x:v>
      </x:c>
      <x:c r="D38" s="0" t="s">
        <x:v>22</x:v>
      </x:c>
      <x:c r="E38" s="0">
        <x:v>1</x:v>
      </x:c>
      <x:c r="F38" s="0">
        <x:v>2</x:v>
      </x:c>
      <x:c r="G38" s="8">
        <x:v>147.5</x:v>
      </x:c>
      <x:c r="H38" s="8">
        <x:v>295</x:v>
      </x:c>
      <x:c r="I38" s="0" t="s">
        <x:v>23</x:v>
      </x:c>
      <x:c r="K38" s="8">
        <x:v>295</x:v>
      </x:c>
      <x:c r="L38" s="0" t="s">
        <x:v>24</x:v>
      </x:c>
      <x:c r="M38" s="0" t="s">
        <x:v>25</x:v>
      </x:c>
      <x:c r="N38" s="0" t="s">
        <x:v>26</x:v>
      </x:c>
      <x:c r="P38" s="0" t="s">
        <x:v>27</x:v>
      </x:c>
    </x:row>
    <x:row r="39" spans="1:20">
      <x:c r="H39" s="18">
        <x:f>SUM(H2:H38)</x:f>
      </x:c>
    </x:row>
    <x:row r="41" spans="1:20">
      <x:c r="B41" s="19" t="s">
        <x:v>163</x:v>
      </x:c>
      <x:c r="C41" s="20"/>
      <x:c r="D41" s="20"/>
      <x:c r="E41" s="20"/>
      <x:c r="F41" s="20"/>
      <x:c r="G41" s="20"/>
      <x:c r="H41" s="21">
        <x:f>SUM(H42:H44)</x:f>
      </x:c>
      <x:c r="I41" s="22" t="s">
        <x:v>164</x:v>
      </x:c>
    </x:row>
    <x:row r="42" spans="1:20">
      <x:c r="B42" s="21" t="s">
        <x:v>165</x:v>
      </x:c>
      <x:c r="C42" s="21"/>
      <x:c r="D42" s="21"/>
      <x:c r="E42" s="21"/>
      <x:c r="F42" s="20">
        <x:f>F2+F3+F4+F6+F7+F15+F17+F19+F21+F22+F26+F27+F28+F29+F32+F36+F37+F38</x:f>
      </x:c>
      <x:c r="G42" s="20">
        <x:f>G2+G3+G4+G6+G7+G15+G17+G19+G21+G22+G26+G27+G28+G29+G32+G36+G37+G38</x:f>
      </x:c>
      <x:c r="H42" s="20">
        <x:f>H2+H3+H4+H6+H7+H15+H17+H19+H21+H22+H26+H27+H28+H29+H32+H36+H37+H38</x:f>
      </x:c>
      <x:c r="I42" s="15"/>
    </x:row>
    <x:row r="43" spans="1:20">
      <x:c r="B43" s="21" t="s">
        <x:v>166</x:v>
      </x:c>
      <x:c r="C43" s="21"/>
      <x:c r="D43" s="21"/>
      <x:c r="E43" s="21"/>
      <x:c r="F43" s="20">
        <x:f>F16</x:f>
      </x:c>
      <x:c r="G43" s="20">
        <x:f>G16</x:f>
      </x:c>
      <x:c r="H43" s="20">
        <x:f>H16</x:f>
      </x:c>
      <x:c r="I43" s="15"/>
    </x:row>
    <x:row r="44" spans="1:20">
      <x:c r="B44" s="21" t="s">
        <x:v>167</x:v>
      </x:c>
      <x:c r="C44" s="21"/>
      <x:c r="D44" s="21"/>
      <x:c r="E44" s="21"/>
      <x:c r="F44" s="20">
        <x:f>F8+F31+F33</x:f>
      </x:c>
      <x:c r="G44" s="20">
        <x:f>G8+G31+G33</x:f>
      </x:c>
      <x:c r="H44" s="20">
        <x:f>H8+H31+H33</x:f>
      </x:c>
      <x:c r="I44" s="15"/>
    </x:row>
    <x:row r="45" spans="1:20">
      <x:c r="B45" s="19" t="s">
        <x:v>168</x:v>
      </x:c>
      <x:c r="C45" s="20"/>
      <x:c r="D45" s="20"/>
      <x:c r="E45" s="20"/>
      <x:c r="F45" s="20"/>
      <x:c r="G45" s="20"/>
      <x:c r="H45" s="21">
        <x:f>SUM(H46:H52)</x:f>
      </x:c>
      <x:c r="I45" s="22" t="s">
        <x:v>169</x:v>
      </x:c>
    </x:row>
    <x:row r="46" spans="1:20">
      <x:c r="B46" s="21" t="s">
        <x:v>170</x:v>
      </x:c>
      <x:c r="C46" s="21"/>
      <x:c r="D46" s="21"/>
      <x:c r="E46" s="21"/>
      <x:c r="F46" s="20">
        <x:f>F11+F12+F13+F14</x:f>
      </x:c>
      <x:c r="G46" s="20">
        <x:f>G11+G12+G13+G14</x:f>
      </x:c>
      <x:c r="H46" s="20">
        <x:f>H11+H12+H13+H14</x:f>
      </x:c>
      <x:c r="I46" s="15"/>
    </x:row>
    <x:row r="47" spans="1:20">
      <x:c r="B47" s="21" t="s">
        <x:v>171</x:v>
      </x:c>
      <x:c r="C47" s="21"/>
      <x:c r="D47" s="21"/>
      <x:c r="E47" s="21"/>
      <x:c r="F47" s="20"/>
      <x:c r="G47" s="20"/>
      <x:c r="H47" s="20"/>
      <x:c r="I47" s="15"/>
    </x:row>
    <x:row r="48" spans="1:20">
      <x:c r="B48" s="21" t="s">
        <x:v>172</x:v>
      </x:c>
      <x:c r="C48" s="21"/>
      <x:c r="D48" s="21"/>
      <x:c r="E48" s="21"/>
      <x:c r="F48" s="20">
        <x:f>F5+F9+F10</x:f>
      </x:c>
      <x:c r="G48" s="20">
        <x:f>G5+G9+G10</x:f>
      </x:c>
      <x:c r="H48" s="20">
        <x:f>H5+H9+H10</x:f>
      </x:c>
      <x:c r="I48" s="15"/>
    </x:row>
    <x:row r="49" spans="1:20">
      <x:c r="B49" s="21" t="s">
        <x:v>173</x:v>
      </x:c>
      <x:c r="C49" s="21"/>
      <x:c r="D49" s="21"/>
      <x:c r="E49" s="21"/>
      <x:c r="F49" s="20"/>
      <x:c r="G49" s="20"/>
      <x:c r="H49" s="20"/>
      <x:c r="I49" s="15"/>
    </x:row>
    <x:row r="50" spans="1:20">
      <x:c r="B50" s="21" t="s">
        <x:v>174</x:v>
      </x:c>
      <x:c r="C50" s="21"/>
      <x:c r="D50" s="21"/>
      <x:c r="E50" s="21"/>
      <x:c r="F50" s="20"/>
      <x:c r="G50" s="20"/>
      <x:c r="H50" s="20"/>
      <x:c r="I50" s="15"/>
    </x:row>
    <x:row r="51" spans="1:20">
      <x:c r="B51" s="21" t="s">
        <x:v>70</x:v>
      </x:c>
      <x:c r="C51" s="21"/>
      <x:c r="D51" s="21"/>
      <x:c r="E51" s="21"/>
      <x:c r="F51" s="20"/>
      <x:c r="G51" s="20"/>
      <x:c r="H51" s="20"/>
      <x:c r="I51" s="15"/>
    </x:row>
    <x:row r="52" spans="1:20">
      <x:c r="B52" s="21" t="s">
        <x:v>175</x:v>
      </x:c>
      <x:c r="C52" s="21"/>
      <x:c r="D52" s="21"/>
      <x:c r="E52" s="21"/>
      <x:c r="F52" s="20">
        <x:f>F20</x:f>
      </x:c>
      <x:c r="G52" s="20">
        <x:f>G20</x:f>
      </x:c>
      <x:c r="H52" s="20">
        <x:f>H20</x:f>
      </x:c>
      <x:c r="I52" s="15"/>
    </x:row>
    <x:row r="53" spans="1:20">
      <x:c r="B53" s="19" t="s">
        <x:v>176</x:v>
      </x:c>
      <x:c r="C53" s="20"/>
      <x:c r="D53" s="20"/>
      <x:c r="E53" s="20"/>
      <x:c r="F53" s="20"/>
      <x:c r="G53" s="20"/>
      <x:c r="H53" s="21">
        <x:f>SUM(H54:H59)</x:f>
      </x:c>
      <x:c r="I53" s="22" t="s">
        <x:v>177</x:v>
      </x:c>
    </x:row>
    <x:row r="54" spans="1:20">
      <x:c r="B54" s="21" t="s">
        <x:v>178</x:v>
      </x:c>
      <x:c r="C54" s="21"/>
      <x:c r="D54" s="21"/>
      <x:c r="E54" s="21"/>
      <x:c r="F54" s="20"/>
      <x:c r="G54" s="20"/>
      <x:c r="H54" s="20"/>
      <x:c r="I54" s="15"/>
    </x:row>
    <x:row r="55" spans="1:20">
      <x:c r="B55" s="21" t="s">
        <x:v>179</x:v>
      </x:c>
      <x:c r="C55" s="21"/>
      <x:c r="D55" s="21"/>
      <x:c r="E55" s="21"/>
      <x:c r="F55" s="20">
        <x:f>F34</x:f>
      </x:c>
      <x:c r="G55" s="20">
        <x:f>G34</x:f>
      </x:c>
      <x:c r="H55" s="20">
        <x:f>H34</x:f>
      </x:c>
      <x:c r="I55" s="15"/>
    </x:row>
    <x:row r="56" spans="1:20">
      <x:c r="B56" s="21" t="s">
        <x:v>54</x:v>
      </x:c>
      <x:c r="C56" s="21"/>
      <x:c r="D56" s="21"/>
      <x:c r="E56" s="21"/>
      <x:c r="F56" s="20"/>
      <x:c r="G56" s="20"/>
      <x:c r="H56" s="20"/>
      <x:c r="I56" s="15"/>
    </x:row>
    <x:row r="57" spans="1:20">
      <x:c r="B57" s="21" t="s">
        <x:v>180</x:v>
      </x:c>
      <x:c r="C57" s="21"/>
      <x:c r="D57" s="21"/>
      <x:c r="E57" s="21"/>
      <x:c r="F57" s="20">
        <x:f>F18+F35</x:f>
      </x:c>
      <x:c r="G57" s="20">
        <x:f>G18+G35</x:f>
      </x:c>
      <x:c r="H57" s="20">
        <x:f>H18+H35</x:f>
      </x:c>
      <x:c r="I57" s="15"/>
    </x:row>
    <x:row r="58" spans="1:20">
      <x:c r="B58" s="21" t="s">
        <x:v>181</x:v>
      </x:c>
      <x:c r="C58" s="21"/>
      <x:c r="D58" s="21"/>
      <x:c r="E58" s="21"/>
      <x:c r="F58" s="20">
        <x:f>F24+F25+F30</x:f>
      </x:c>
      <x:c r="G58" s="20">
        <x:f>G24+G25+G30</x:f>
      </x:c>
      <x:c r="H58" s="20">
        <x:f>H24+H25+H30</x:f>
      </x:c>
      <x:c r="I58" s="15"/>
    </x:row>
    <x:row r="59" spans="1:20">
      <x:c r="B59" s="21" t="s">
        <x:v>182</x:v>
      </x:c>
      <x:c r="C59" s="21"/>
      <x:c r="D59" s="21"/>
      <x:c r="E59" s="21"/>
      <x:c r="F59" s="20">
        <x:f>F23</x:f>
      </x:c>
      <x:c r="G59" s="20">
        <x:f>G23</x:f>
      </x:c>
      <x:c r="H59" s="20">
        <x:f>H23</x:f>
      </x:c>
      <x:c r="I59" s="15"/>
    </x:row>
    <x:row r="60" spans="1:20">
      <x:c r="B60" s="19" t="s">
        <x:v>183</x:v>
      </x:c>
      <x:c r="C60" s="20"/>
      <x:c r="D60" s="20"/>
      <x:c r="E60" s="20"/>
      <x:c r="F60" s="20"/>
      <x:c r="G60" s="20"/>
      <x:c r="H60" s="21">
        <x:f>SUM(H61:H62)</x:f>
      </x:c>
      <x:c r="I60" s="22"/>
    </x:row>
    <x:row r="61" spans="1:20">
      <x:c r="B61" s="21" t="s">
        <x:v>184</x:v>
      </x:c>
      <x:c r="C61" s="21"/>
      <x:c r="D61" s="21"/>
      <x:c r="E61" s="21"/>
      <x:c r="F61" s="20"/>
      <x:c r="G61" s="20"/>
      <x:c r="H61" s="20"/>
      <x:c r="I61" s="15"/>
    </x:row>
    <x:row r="62" spans="1:20">
      <x:c r="B62" s="21" t="s">
        <x:v>185</x:v>
      </x:c>
      <x:c r="C62" s="21"/>
      <x:c r="D62" s="21"/>
      <x:c r="E62" s="21"/>
      <x:c r="F62" s="20"/>
      <x:c r="G62" s="20"/>
      <x:c r="H62" s="20"/>
      <x:c r="I62" s="15"/>
    </x:row>
    <x:row r="63" spans="1:20">
      <x:c r="B63" s="22"/>
      <x:c r="C63" s="22"/>
      <x:c r="D63" s="22"/>
      <x:c r="E63" s="22"/>
      <x:c r="F63" s="15"/>
      <x:c r="G63" s="15"/>
      <x:c r="H63" s="22">
        <x:f>H41+H45+H53+H60</x:f>
      </x:c>
      <x:c r="I63" s="15"/>
    </x:row>
    <x:row r="64" spans="1:20">
      <x:c r="H64" s="17">
        <x:f>H63 - H39</x:f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1DE8A99-48A7-034C-A0F0-FC9ED0AFC0A2}" mc:Ignorable="x14ac xr xr2 xr3">
  <x:sheetPr>
    <x:outlinePr summaryBelow="1" summaryRight="1"/>
  </x:sheetPr>
  <x:dimension ref="A1:T34"/>
  <x:sheetViews>
    <x:sheetView topLeftCell="A32" zoomScale="101" zoomScaleNormal="101" workbookViewId="0">
      <x:selection activeCell="A35" sqref="A35 A35:K61"/>
    </x:sheetView>
  </x:sheetViews>
  <x:sheetFormatPr defaultColWidth="11.210625" defaultRowHeight="15.75"/>
  <x:cols>
    <x:col min="1" max="1" width="11.210625" style="0" customWidth="1"/>
    <x:col min="2" max="2" width="32.875" style="0" customWidth="1"/>
    <x:col min="3" max="3" width="3.375" style="0" customWidth="1"/>
    <x:col min="4" max="4" width="2.625" style="0" customWidth="1"/>
    <x:col min="5" max="5" width="2" style="0" customWidth="1"/>
  </x:cols>
  <x:sheetData>
    <x:row r="1" spans="1:2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</x:row>
    <x:row r="2" spans="1:20">
      <x:c r="A2" s="0">
        <x:v>1</x:v>
      </x:c>
      <x:c r="B2" s="0" t="s">
        <x:v>91</x:v>
      </x:c>
      <x:c r="C2" s="0" t="s">
        <x:v>21</x:v>
      </x:c>
      <x:c r="D2" s="0" t="s">
        <x:v>22</x:v>
      </x:c>
      <x:c r="E2" s="0">
        <x:v>1</x:v>
      </x:c>
      <x:c r="F2" s="0">
        <x:v>1</x:v>
      </x:c>
      <x:c r="G2" s="8">
        <x:v>297.5</x:v>
      </x:c>
      <x:c r="H2" s="8">
        <x:v>297.5</x:v>
      </x:c>
      <x:c r="I2" s="0" t="s">
        <x:v>23</x:v>
      </x:c>
      <x:c r="K2" s="8">
        <x:v>297.5</x:v>
      </x:c>
      <x:c r="L2" s="0" t="s">
        <x:v>24</x:v>
      </x:c>
      <x:c r="M2" s="0" t="s">
        <x:v>25</x:v>
      </x:c>
      <x:c r="N2" s="0" t="s">
        <x:v>26</x:v>
      </x:c>
      <x:c r="P2" s="0" t="s">
        <x:v>27</x:v>
      </x:c>
    </x:row>
    <x:row r="3" spans="1:20">
      <x:c r="A3" s="0">
        <x:v>2</x:v>
      </x:c>
      <x:c r="B3" s="0" t="s">
        <x:v>20</x:v>
      </x:c>
      <x:c r="C3" s="0" t="s">
        <x:v>21</x:v>
      </x:c>
      <x:c r="D3" s="0" t="s">
        <x:v>22</x:v>
      </x:c>
      <x:c r="E3" s="0">
        <x:v>1</x:v>
      </x:c>
      <x:c r="F3" s="0">
        <x:v>2</x:v>
      </x:c>
      <x:c r="G3" s="8">
        <x:v>150</x:v>
      </x:c>
      <x:c r="H3" s="8">
        <x:v>300</x:v>
      </x:c>
      <x:c r="I3" s="0" t="s">
        <x:v>23</x:v>
      </x:c>
      <x:c r="K3" s="8">
        <x:v>300</x:v>
      </x:c>
      <x:c r="L3" s="0" t="s">
        <x:v>24</x:v>
      </x:c>
      <x:c r="M3" s="0" t="s">
        <x:v>25</x:v>
      </x:c>
      <x:c r="N3" s="0" t="s">
        <x:v>26</x:v>
      </x:c>
      <x:c r="P3" s="0" t="s">
        <x:v>27</x:v>
      </x:c>
    </x:row>
    <x:row r="4" spans="1:20">
      <x:c r="A4" s="0">
        <x:v>3</x:v>
      </x:c>
      <x:c r="B4" s="0" t="s">
        <x:v>74</x:v>
      </x:c>
      <x:c r="C4" s="0" t="s">
        <x:v>21</x:v>
      </x:c>
      <x:c r="D4" s="0" t="s">
        <x:v>22</x:v>
      </x:c>
      <x:c r="E4" s="0">
        <x:v>1</x:v>
      </x:c>
      <x:c r="F4" s="0">
        <x:v>1</x:v>
      </x:c>
      <x:c r="G4" s="8">
        <x:v>212.5</x:v>
      </x:c>
      <x:c r="H4" s="8">
        <x:v>212.5</x:v>
      </x:c>
      <x:c r="I4" s="0" t="s">
        <x:v>23</x:v>
      </x:c>
      <x:c r="K4" s="8">
        <x:v>212.5</x:v>
      </x:c>
      <x:c r="L4" s="0" t="s">
        <x:v>24</x:v>
      </x:c>
      <x:c r="M4" s="0" t="s">
        <x:v>25</x:v>
      </x:c>
      <x:c r="N4" s="0" t="s">
        <x:v>26</x:v>
      </x:c>
      <x:c r="P4" s="0" t="s">
        <x:v>27</x:v>
      </x:c>
    </x:row>
    <x:row r="5" spans="1:20">
      <x:c r="A5" s="0">
        <x:v>4</x:v>
      </x:c>
      <x:c r="B5" s="0" t="s">
        <x:v>29</x:v>
      </x:c>
      <x:c r="C5" s="0" t="s">
        <x:v>21</x:v>
      </x:c>
      <x:c r="D5" s="0" t="s">
        <x:v>22</x:v>
      </x:c>
      <x:c r="E5" s="0">
        <x:v>1</x:v>
      </x:c>
      <x:c r="F5" s="0">
        <x:v>3</x:v>
      </x:c>
      <x:c r="G5" s="8">
        <x:v>194.89</x:v>
      </x:c>
      <x:c r="H5" s="8">
        <x:v>584.67</x:v>
      </x:c>
      <x:c r="I5" s="0" t="s">
        <x:v>23</x:v>
      </x:c>
      <x:c r="K5" s="8">
        <x:v>584.67</x:v>
      </x:c>
      <x:c r="L5" s="0" t="s">
        <x:v>24</x:v>
      </x:c>
      <x:c r="M5" s="0" t="s">
        <x:v>25</x:v>
      </x:c>
      <x:c r="N5" s="0" t="s">
        <x:v>26</x:v>
      </x:c>
      <x:c r="P5" s="0" t="s">
        <x:v>27</x:v>
      </x:c>
    </x:row>
    <x:row r="6" spans="1:20">
      <x:c r="A6" s="0">
        <x:v>5</x:v>
      </x:c>
      <x:c r="B6" s="0" t="s">
        <x:v>30</x:v>
      </x:c>
      <x:c r="C6" s="0" t="s">
        <x:v>21</x:v>
      </x:c>
      <x:c r="D6" s="0" t="s">
        <x:v>22</x:v>
      </x:c>
      <x:c r="E6" s="0">
        <x:v>1</x:v>
      </x:c>
      <x:c r="F6" s="0">
        <x:v>8</x:v>
      </x:c>
      <x:c r="G6" s="8">
        <x:v>321.75</x:v>
      </x:c>
      <x:c r="H6" s="8">
        <x:v>2574</x:v>
      </x:c>
      <x:c r="I6" s="0" t="s">
        <x:v>23</x:v>
      </x:c>
      <x:c r="K6" s="8">
        <x:v>2574</x:v>
      </x:c>
      <x:c r="L6" s="0" t="s">
        <x:v>24</x:v>
      </x:c>
      <x:c r="M6" s="0" t="s">
        <x:v>25</x:v>
      </x:c>
      <x:c r="N6" s="0" t="s">
        <x:v>26</x:v>
      </x:c>
      <x:c r="P6" s="0" t="s">
        <x:v>27</x:v>
      </x:c>
    </x:row>
    <x:row r="7" spans="1:20">
      <x:c r="A7" s="0">
        <x:v>6</x:v>
      </x:c>
      <x:c r="B7" s="0" t="s">
        <x:v>31</x:v>
      </x:c>
      <x:c r="C7" s="0" t="s">
        <x:v>21</x:v>
      </x:c>
      <x:c r="D7" s="0" t="s">
        <x:v>22</x:v>
      </x:c>
      <x:c r="E7" s="0">
        <x:v>1</x:v>
      </x:c>
      <x:c r="F7" s="0">
        <x:v>1</x:v>
      </x:c>
      <x:c r="G7" s="8">
        <x:v>90</x:v>
      </x:c>
      <x:c r="H7" s="8">
        <x:v>90</x:v>
      </x:c>
      <x:c r="I7" s="0" t="s">
        <x:v>23</x:v>
      </x:c>
      <x:c r="K7" s="8">
        <x:v>90</x:v>
      </x:c>
      <x:c r="L7" s="0" t="s">
        <x:v>24</x:v>
      </x:c>
      <x:c r="M7" s="0" t="s">
        <x:v>25</x:v>
      </x:c>
      <x:c r="N7" s="0" t="s">
        <x:v>26</x:v>
      </x:c>
      <x:c r="P7" s="0" t="s">
        <x:v>27</x:v>
      </x:c>
    </x:row>
    <x:row r="8" spans="1:20">
      <x:c r="A8" s="0">
        <x:v>7</x:v>
      </x:c>
      <x:c r="B8" s="0" t="s">
        <x:v>78</x:v>
      </x:c>
      <x:c r="C8" s="0" t="s">
        <x:v>21</x:v>
      </x:c>
      <x:c r="D8" s="0" t="s">
        <x:v>34</x:v>
      </x:c>
      <x:c r="E8" s="0">
        <x:v>1</x:v>
      </x:c>
      <x:c r="F8" s="0">
        <x:v>0.15</x:v>
      </x:c>
      <x:c r="G8" s="8">
        <x:v>3380</x:v>
      </x:c>
      <x:c r="H8" s="8">
        <x:v>507</x:v>
      </x:c>
      <x:c r="I8" s="0" t="s">
        <x:v>23</x:v>
      </x:c>
      <x:c r="K8" s="8">
        <x:v>507</x:v>
      </x:c>
      <x:c r="L8" s="0" t="s">
        <x:v>24</x:v>
      </x:c>
      <x:c r="M8" s="0" t="s">
        <x:v>25</x:v>
      </x:c>
      <x:c r="N8" s="0" t="s">
        <x:v>26</x:v>
      </x:c>
      <x:c r="P8" s="0" t="s">
        <x:v>27</x:v>
      </x:c>
    </x:row>
    <x:row r="9" spans="1:20">
      <x:c r="A9" s="0">
        <x:v>8</x:v>
      </x:c>
      <x:c r="B9" s="0" t="s">
        <x:v>81</x:v>
      </x:c>
      <x:c r="C9" s="0" t="s">
        <x:v>21</x:v>
      </x:c>
      <x:c r="D9" s="0" t="s">
        <x:v>34</x:v>
      </x:c>
      <x:c r="E9" s="0">
        <x:v>1</x:v>
      </x:c>
      <x:c r="F9" s="0">
        <x:v>0.1</x:v>
      </x:c>
      <x:c r="G9" s="8">
        <x:v>3599.9</x:v>
      </x:c>
      <x:c r="H9" s="8">
        <x:v>359.99</x:v>
      </x:c>
      <x:c r="I9" s="0" t="s">
        <x:v>23</x:v>
      </x:c>
      <x:c r="K9" s="8">
        <x:v>359.99</x:v>
      </x:c>
      <x:c r="L9" s="0" t="s">
        <x:v>24</x:v>
      </x:c>
      <x:c r="M9" s="0" t="s">
        <x:v>25</x:v>
      </x:c>
      <x:c r="N9" s="0" t="s">
        <x:v>26</x:v>
      </x:c>
      <x:c r="P9" s="0" t="s">
        <x:v>27</x:v>
      </x:c>
    </x:row>
    <x:row r="10" spans="1:20">
      <x:c r="A10" s="0">
        <x:v>9</x:v>
      </x:c>
      <x:c r="B10" s="0" t="s">
        <x:v>114</x:v>
      </x:c>
      <x:c r="C10" s="0" t="s">
        <x:v>21</x:v>
      </x:c>
      <x:c r="D10" s="0" t="s">
        <x:v>34</x:v>
      </x:c>
      <x:c r="E10" s="0">
        <x:v>1</x:v>
      </x:c>
      <x:c r="F10" s="0">
        <x:v>0.15</x:v>
      </x:c>
      <x:c r="G10" s="8">
        <x:v>2380</x:v>
      </x:c>
      <x:c r="H10" s="8">
        <x:v>357</x:v>
      </x:c>
      <x:c r="I10" s="0" t="s">
        <x:v>23</x:v>
      </x:c>
      <x:c r="K10" s="8">
        <x:v>357</x:v>
      </x:c>
      <x:c r="L10" s="0" t="s">
        <x:v>24</x:v>
      </x:c>
      <x:c r="M10" s="0" t="s">
        <x:v>25</x:v>
      </x:c>
      <x:c r="N10" s="0" t="s">
        <x:v>26</x:v>
      </x:c>
      <x:c r="P10" s="0" t="s">
        <x:v>27</x:v>
      </x:c>
    </x:row>
    <x:row r="11" spans="1:20">
      <x:c r="A11" s="0">
        <x:v>10</x:v>
      </x:c>
      <x:c r="B11" s="0" t="s">
        <x:v>69</x:v>
      </x:c>
      <x:c r="C11" s="0" t="s">
        <x:v>21</x:v>
      </x:c>
      <x:c r="D11" s="0" t="s">
        <x:v>34</x:v>
      </x:c>
      <x:c r="E11" s="0">
        <x:v>1</x:v>
      </x:c>
      <x:c r="F11" s="0">
        <x:v>0.1</x:v>
      </x:c>
      <x:c r="G11" s="8">
        <x:v>3400</x:v>
      </x:c>
      <x:c r="H11" s="8">
        <x:v>340</x:v>
      </x:c>
      <x:c r="I11" s="0" t="s">
        <x:v>23</x:v>
      </x:c>
      <x:c r="K11" s="8">
        <x:v>340</x:v>
      </x:c>
      <x:c r="L11" s="0" t="s">
        <x:v>24</x:v>
      </x:c>
      <x:c r="M11" s="0" t="s">
        <x:v>25</x:v>
      </x:c>
      <x:c r="N11" s="0" t="s">
        <x:v>26</x:v>
      </x:c>
      <x:c r="P11" s="0" t="s">
        <x:v>27</x:v>
      </x:c>
    </x:row>
    <x:row r="12" spans="1:20">
      <x:c r="A12" s="0">
        <x:v>11</x:v>
      </x:c>
      <x:c r="B12" s="0" t="s">
        <x:v>70</x:v>
      </x:c>
      <x:c r="C12" s="0" t="s">
        <x:v>21</x:v>
      </x:c>
      <x:c r="D12" s="0" t="s">
        <x:v>22</x:v>
      </x:c>
      <x:c r="E12" s="0">
        <x:v>1</x:v>
      </x:c>
      <x:c r="F12" s="0">
        <x:v>1</x:v>
      </x:c>
      <x:c r="G12" s="8">
        <x:v>250</x:v>
      </x:c>
      <x:c r="H12" s="8">
        <x:v>250</x:v>
      </x:c>
      <x:c r="I12" s="0" t="s">
        <x:v>23</x:v>
      </x:c>
      <x:c r="K12" s="8">
        <x:v>250</x:v>
      </x:c>
      <x:c r="L12" s="0" t="s">
        <x:v>24</x:v>
      </x:c>
      <x:c r="M12" s="0" t="s">
        <x:v>25</x:v>
      </x:c>
      <x:c r="N12" s="0" t="s">
        <x:v>26</x:v>
      </x:c>
      <x:c r="P12" s="0" t="s">
        <x:v>27</x:v>
      </x:c>
    </x:row>
    <x:row r="13" spans="1:20">
      <x:c r="A13" s="0">
        <x:v>12</x:v>
      </x:c>
      <x:c r="B13" s="0" t="s">
        <x:v>37</x:v>
      </x:c>
      <x:c r="C13" s="0" t="s">
        <x:v>21</x:v>
      </x:c>
      <x:c r="D13" s="0" t="s">
        <x:v>22</x:v>
      </x:c>
      <x:c r="E13" s="0">
        <x:v>1</x:v>
      </x:c>
      <x:c r="F13" s="0">
        <x:v>3</x:v>
      </x:c>
      <x:c r="G13" s="8">
        <x:v>350</x:v>
      </x:c>
      <x:c r="H13" s="8">
        <x:v>1050</x:v>
      </x:c>
      <x:c r="I13" s="0" t="s">
        <x:v>23</x:v>
      </x:c>
      <x:c r="K13" s="8">
        <x:v>1050</x:v>
      </x:c>
      <x:c r="L13" s="0" t="s">
        <x:v>24</x:v>
      </x:c>
      <x:c r="M13" s="0" t="s">
        <x:v>25</x:v>
      </x:c>
      <x:c r="N13" s="0" t="s">
        <x:v>26</x:v>
      </x:c>
      <x:c r="P13" s="0" t="s">
        <x:v>27</x:v>
      </x:c>
    </x:row>
    <x:row r="14" spans="1:20">
      <x:c r="A14" s="0">
        <x:v>13</x:v>
      </x:c>
      <x:c r="B14" s="0" t="s">
        <x:v>103</x:v>
      </x:c>
      <x:c r="C14" s="0" t="s">
        <x:v>21</x:v>
      </x:c>
      <x:c r="D14" s="0" t="s">
        <x:v>22</x:v>
      </x:c>
      <x:c r="E14" s="0">
        <x:v>1</x:v>
      </x:c>
      <x:c r="F14" s="0">
        <x:v>1</x:v>
      </x:c>
      <x:c r="G14" s="8">
        <x:v>420</x:v>
      </x:c>
      <x:c r="H14" s="8">
        <x:v>420</x:v>
      </x:c>
      <x:c r="I14" s="0" t="s">
        <x:v>23</x:v>
      </x:c>
      <x:c r="K14" s="8">
        <x:v>420</x:v>
      </x:c>
      <x:c r="L14" s="0" t="s">
        <x:v>24</x:v>
      </x:c>
      <x:c r="M14" s="0" t="s">
        <x:v>25</x:v>
      </x:c>
      <x:c r="N14" s="0" t="s">
        <x:v>26</x:v>
      </x:c>
      <x:c r="P14" s="0" t="s">
        <x:v>27</x:v>
      </x:c>
    </x:row>
    <x:row r="15" spans="1:20">
      <x:c r="A15" s="0">
        <x:v>14</x:v>
      </x:c>
      <x:c r="B15" s="0" t="s">
        <x:v>39</x:v>
      </x:c>
      <x:c r="C15" s="0" t="s">
        <x:v>21</x:v>
      </x:c>
      <x:c r="D15" s="0" t="s">
        <x:v>22</x:v>
      </x:c>
      <x:c r="E15" s="0">
        <x:v>1</x:v>
      </x:c>
      <x:c r="F15" s="0">
        <x:v>2</x:v>
      </x:c>
      <x:c r="G15" s="8">
        <x:v>250</x:v>
      </x:c>
      <x:c r="H15" s="8">
        <x:v>500</x:v>
      </x:c>
      <x:c r="I15" s="0" t="s">
        <x:v>23</x:v>
      </x:c>
      <x:c r="K15" s="8">
        <x:v>500</x:v>
      </x:c>
      <x:c r="L15" s="0" t="s">
        <x:v>24</x:v>
      </x:c>
      <x:c r="M15" s="0" t="s">
        <x:v>25</x:v>
      </x:c>
      <x:c r="N15" s="0" t="s">
        <x:v>26</x:v>
      </x:c>
      <x:c r="P15" s="0" t="s">
        <x:v>27</x:v>
      </x:c>
    </x:row>
    <x:row r="16" spans="1:20">
      <x:c r="A16" s="0">
        <x:v>15</x:v>
      </x:c>
      <x:c r="B16" s="0" t="s">
        <x:v>40</x:v>
      </x:c>
      <x:c r="C16" s="0" t="s">
        <x:v>21</x:v>
      </x:c>
      <x:c r="D16" s="0" t="s">
        <x:v>22</x:v>
      </x:c>
      <x:c r="E16" s="0">
        <x:v>1</x:v>
      </x:c>
      <x:c r="F16" s="0">
        <x:v>2</x:v>
      </x:c>
      <x:c r="G16" s="8">
        <x:v>400</x:v>
      </x:c>
      <x:c r="H16" s="8">
        <x:v>800</x:v>
      </x:c>
      <x:c r="I16" s="0" t="s">
        <x:v>23</x:v>
      </x:c>
      <x:c r="K16" s="8">
        <x:v>800</x:v>
      </x:c>
      <x:c r="L16" s="0" t="s">
        <x:v>24</x:v>
      </x:c>
      <x:c r="M16" s="0" t="s">
        <x:v>25</x:v>
      </x:c>
      <x:c r="N16" s="0" t="s">
        <x:v>26</x:v>
      </x:c>
      <x:c r="P16" s="0" t="s">
        <x:v>27</x:v>
      </x:c>
    </x:row>
    <x:row r="17" spans="1:20">
      <x:c r="A17" s="0">
        <x:v>16</x:v>
      </x:c>
      <x:c r="B17" s="0" t="s">
        <x:v>41</x:v>
      </x:c>
      <x:c r="C17" s="0" t="s">
        <x:v>21</x:v>
      </x:c>
      <x:c r="D17" s="0" t="s">
        <x:v>22</x:v>
      </x:c>
      <x:c r="E17" s="0">
        <x:v>1</x:v>
      </x:c>
      <x:c r="F17" s="0">
        <x:v>1</x:v>
      </x:c>
      <x:c r="G17" s="8">
        <x:v>286.25</x:v>
      </x:c>
      <x:c r="H17" s="8">
        <x:v>286.25</x:v>
      </x:c>
      <x:c r="I17" s="0" t="s">
        <x:v>23</x:v>
      </x:c>
      <x:c r="K17" s="8">
        <x:v>286.25</x:v>
      </x:c>
      <x:c r="L17" s="0" t="s">
        <x:v>24</x:v>
      </x:c>
      <x:c r="M17" s="0" t="s">
        <x:v>25</x:v>
      </x:c>
      <x:c r="N17" s="0" t="s">
        <x:v>26</x:v>
      </x:c>
      <x:c r="P17" s="0" t="s">
        <x:v>27</x:v>
      </x:c>
    </x:row>
    <x:row r="18" spans="1:20">
      <x:c r="A18" s="0">
        <x:v>17</x:v>
      </x:c>
      <x:c r="B18" s="0" t="s">
        <x:v>42</x:v>
      </x:c>
      <x:c r="C18" s="0" t="s">
        <x:v>21</x:v>
      </x:c>
      <x:c r="D18" s="0" t="s">
        <x:v>22</x:v>
      </x:c>
      <x:c r="E18" s="0">
        <x:v>1</x:v>
      </x:c>
      <x:c r="F18" s="0">
        <x:v>1</x:v>
      </x:c>
      <x:c r="G18" s="8">
        <x:v>220</x:v>
      </x:c>
      <x:c r="H18" s="8">
        <x:v>220</x:v>
      </x:c>
      <x:c r="I18" s="0" t="s">
        <x:v>23</x:v>
      </x:c>
      <x:c r="K18" s="8">
        <x:v>220</x:v>
      </x:c>
      <x:c r="L18" s="0" t="s">
        <x:v>24</x:v>
      </x:c>
      <x:c r="M18" s="0" t="s">
        <x:v>25</x:v>
      </x:c>
      <x:c r="N18" s="0" t="s">
        <x:v>26</x:v>
      </x:c>
      <x:c r="P18" s="0" t="s">
        <x:v>27</x:v>
      </x:c>
    </x:row>
    <x:row r="19" spans="1:20">
      <x:c r="A19" s="0">
        <x:v>18</x:v>
      </x:c>
      <x:c r="B19" s="0" t="s">
        <x:v>43</x:v>
      </x:c>
      <x:c r="C19" s="0" t="s">
        <x:v>21</x:v>
      </x:c>
      <x:c r="D19" s="0" t="s">
        <x:v>22</x:v>
      </x:c>
      <x:c r="E19" s="0">
        <x:v>1</x:v>
      </x:c>
      <x:c r="F19" s="0">
        <x:v>2</x:v>
      </x:c>
      <x:c r="G19" s="8">
        <x:v>220</x:v>
      </x:c>
      <x:c r="H19" s="8">
        <x:v>440</x:v>
      </x:c>
      <x:c r="I19" s="0" t="s">
        <x:v>23</x:v>
      </x:c>
      <x:c r="K19" s="8">
        <x:v>440</x:v>
      </x:c>
      <x:c r="L19" s="0" t="s">
        <x:v>24</x:v>
      </x:c>
      <x:c r="M19" s="0" t="s">
        <x:v>25</x:v>
      </x:c>
      <x:c r="N19" s="0" t="s">
        <x:v>26</x:v>
      </x:c>
      <x:c r="P19" s="0" t="s">
        <x:v>27</x:v>
      </x:c>
    </x:row>
    <x:row r="20" spans="1:20">
      <x:c r="A20" s="0">
        <x:v>19</x:v>
      </x:c>
      <x:c r="B20" s="0" t="s">
        <x:v>44</x:v>
      </x:c>
      <x:c r="C20" s="0" t="s">
        <x:v>21</x:v>
      </x:c>
      <x:c r="D20" s="0" t="s">
        <x:v>22</x:v>
      </x:c>
      <x:c r="E20" s="0">
        <x:v>1</x:v>
      </x:c>
      <x:c r="F20" s="0">
        <x:v>7</x:v>
      </x:c>
      <x:c r="G20" s="8">
        <x:v>83.81</x:v>
      </x:c>
      <x:c r="H20" s="8">
        <x:v>586.68</x:v>
      </x:c>
      <x:c r="I20" s="0" t="s">
        <x:v>23</x:v>
      </x:c>
      <x:c r="K20" s="8">
        <x:v>586.68</x:v>
      </x:c>
      <x:c r="L20" s="0" t="s">
        <x:v>24</x:v>
      </x:c>
      <x:c r="M20" s="0" t="s">
        <x:v>25</x:v>
      </x:c>
      <x:c r="N20" s="0" t="s">
        <x:v>26</x:v>
      </x:c>
      <x:c r="P20" s="0" t="s">
        <x:v>27</x:v>
      </x:c>
    </x:row>
    <x:row r="21" spans="1:20">
      <x:c r="A21" s="0">
        <x:v>20</x:v>
      </x:c>
      <x:c r="B21" s="0" t="s">
        <x:v>45</x:v>
      </x:c>
      <x:c r="C21" s="0" t="s">
        <x:v>21</x:v>
      </x:c>
      <x:c r="D21" s="0" t="s">
        <x:v>22</x:v>
      </x:c>
      <x:c r="E21" s="0">
        <x:v>1</x:v>
      </x:c>
      <x:c r="F21" s="0">
        <x:v>3</x:v>
      </x:c>
      <x:c r="G21" s="8">
        <x:v>110</x:v>
      </x:c>
      <x:c r="H21" s="8">
        <x:v>330</x:v>
      </x:c>
      <x:c r="I21" s="0" t="s">
        <x:v>23</x:v>
      </x:c>
      <x:c r="K21" s="8">
        <x:v>330</x:v>
      </x:c>
      <x:c r="L21" s="0" t="s">
        <x:v>24</x:v>
      </x:c>
      <x:c r="M21" s="0" t="s">
        <x:v>25</x:v>
      </x:c>
      <x:c r="N21" s="0" t="s">
        <x:v>26</x:v>
      </x:c>
      <x:c r="P21" s="0" t="s">
        <x:v>27</x:v>
      </x:c>
    </x:row>
    <x:row r="22" spans="1:20">
      <x:c r="A22" s="0">
        <x:v>21</x:v>
      </x:c>
      <x:c r="B22" s="0" t="s">
        <x:v>47</x:v>
      </x:c>
      <x:c r="C22" s="0" t="s">
        <x:v>21</x:v>
      </x:c>
      <x:c r="D22" s="0" t="s">
        <x:v>22</x:v>
      </x:c>
      <x:c r="E22" s="0">
        <x:v>1</x:v>
      </x:c>
      <x:c r="F22" s="0">
        <x:v>6</x:v>
      </x:c>
      <x:c r="G22" s="8">
        <x:v>268.7</x:v>
      </x:c>
      <x:c r="H22" s="8">
        <x:v>1612.17</x:v>
      </x:c>
      <x:c r="I22" s="0" t="s">
        <x:v>23</x:v>
      </x:c>
      <x:c r="K22" s="8">
        <x:v>1612.17</x:v>
      </x:c>
      <x:c r="L22" s="0" t="s">
        <x:v>24</x:v>
      </x:c>
      <x:c r="M22" s="0" t="s">
        <x:v>25</x:v>
      </x:c>
      <x:c r="N22" s="0" t="s">
        <x:v>26</x:v>
      </x:c>
      <x:c r="P22" s="0" t="s">
        <x:v>27</x:v>
      </x:c>
    </x:row>
    <x:row r="23" spans="1:20">
      <x:c r="A23" s="0">
        <x:v>22</x:v>
      </x:c>
      <x:c r="B23" s="0" t="s">
        <x:v>135</x:v>
      </x:c>
      <x:c r="C23" s="0" t="s">
        <x:v>21</x:v>
      </x:c>
      <x:c r="D23" s="0" t="s">
        <x:v>22</x:v>
      </x:c>
      <x:c r="E23" s="0">
        <x:v>1</x:v>
      </x:c>
      <x:c r="F23" s="0">
        <x:v>1</x:v>
      </x:c>
      <x:c r="G23" s="8">
        <x:v>150</x:v>
      </x:c>
      <x:c r="H23" s="8">
        <x:v>150</x:v>
      </x:c>
      <x:c r="I23" s="0" t="s">
        <x:v>23</x:v>
      </x:c>
      <x:c r="K23" s="8">
        <x:v>150</x:v>
      </x:c>
      <x:c r="L23" s="0" t="s">
        <x:v>24</x:v>
      </x:c>
      <x:c r="M23" s="0" t="s">
        <x:v>25</x:v>
      </x:c>
      <x:c r="N23" s="0" t="s">
        <x:v>26</x:v>
      </x:c>
      <x:c r="P23" s="0" t="s">
        <x:v>27</x:v>
      </x:c>
    </x:row>
    <x:row r="24" spans="1:20">
      <x:c r="A24" s="0">
        <x:v>23</x:v>
      </x:c>
      <x:c r="B24" s="0" t="s">
        <x:v>71</x:v>
      </x:c>
      <x:c r="C24" s="0" t="s">
        <x:v>21</x:v>
      </x:c>
      <x:c r="D24" s="0" t="s">
        <x:v>22</x:v>
      </x:c>
      <x:c r="E24" s="0">
        <x:v>1</x:v>
      </x:c>
      <x:c r="F24" s="0">
        <x:v>1</x:v>
      </x:c>
      <x:c r="G24" s="8">
        <x:v>150</x:v>
      </x:c>
      <x:c r="H24" s="8">
        <x:v>150</x:v>
      </x:c>
      <x:c r="I24" s="0" t="s">
        <x:v>23</x:v>
      </x:c>
      <x:c r="K24" s="8">
        <x:v>150</x:v>
      </x:c>
      <x:c r="L24" s="0" t="s">
        <x:v>24</x:v>
      </x:c>
      <x:c r="M24" s="0" t="s">
        <x:v>25</x:v>
      </x:c>
      <x:c r="N24" s="0" t="s">
        <x:v>26</x:v>
      </x:c>
      <x:c r="P24" s="0" t="s">
        <x:v>27</x:v>
      </x:c>
    </x:row>
    <x:row r="25" spans="1:20">
      <x:c r="A25" s="0">
        <x:v>24</x:v>
      </x:c>
      <x:c r="B25" s="0" t="s">
        <x:v>49</x:v>
      </x:c>
      <x:c r="C25" s="0" t="s">
        <x:v>21</x:v>
      </x:c>
      <x:c r="D25" s="0" t="s">
        <x:v>22</x:v>
      </x:c>
      <x:c r="E25" s="0">
        <x:v>1</x:v>
      </x:c>
      <x:c r="F25" s="0">
        <x:v>1</x:v>
      </x:c>
      <x:c r="G25" s="8">
        <x:v>167.33</x:v>
      </x:c>
      <x:c r="H25" s="8">
        <x:v>167.33</x:v>
      </x:c>
      <x:c r="I25" s="0" t="s">
        <x:v>23</x:v>
      </x:c>
      <x:c r="K25" s="8">
        <x:v>167.33</x:v>
      </x:c>
      <x:c r="L25" s="0" t="s">
        <x:v>24</x:v>
      </x:c>
      <x:c r="M25" s="0" t="s">
        <x:v>25</x:v>
      </x:c>
      <x:c r="N25" s="0" t="s">
        <x:v>26</x:v>
      </x:c>
      <x:c r="P25" s="0" t="s">
        <x:v>27</x:v>
      </x:c>
    </x:row>
    <x:row r="26" spans="1:20">
      <x:c r="A26" s="0">
        <x:v>25</x:v>
      </x:c>
      <x:c r="B26" s="0" t="s">
        <x:v>95</x:v>
      </x:c>
      <x:c r="C26" s="0" t="s">
        <x:v>21</x:v>
      </x:c>
      <x:c r="D26" s="0" t="s">
        <x:v>22</x:v>
      </x:c>
      <x:c r="E26" s="0">
        <x:v>1</x:v>
      </x:c>
      <x:c r="F26" s="0">
        <x:v>1</x:v>
      </x:c>
      <x:c r="G26" s="8">
        <x:v>278.35</x:v>
      </x:c>
      <x:c r="H26" s="8">
        <x:v>278.35</x:v>
      </x:c>
      <x:c r="I26" s="0" t="s">
        <x:v>23</x:v>
      </x:c>
      <x:c r="K26" s="8">
        <x:v>278.35</x:v>
      </x:c>
      <x:c r="L26" s="0" t="s">
        <x:v>24</x:v>
      </x:c>
      <x:c r="M26" s="0" t="s">
        <x:v>25</x:v>
      </x:c>
      <x:c r="N26" s="0" t="s">
        <x:v>26</x:v>
      </x:c>
      <x:c r="P26" s="0" t="s">
        <x:v>27</x:v>
      </x:c>
    </x:row>
    <x:row r="27" spans="1:20">
      <x:c r="A27" s="0">
        <x:v>26</x:v>
      </x:c>
      <x:c r="B27" s="0" t="s">
        <x:v>50</x:v>
      </x:c>
      <x:c r="C27" s="0" t="s">
        <x:v>21</x:v>
      </x:c>
      <x:c r="D27" s="0" t="s">
        <x:v>22</x:v>
      </x:c>
      <x:c r="E27" s="0">
        <x:v>1</x:v>
      </x:c>
      <x:c r="F27" s="0">
        <x:v>3</x:v>
      </x:c>
      <x:c r="G27" s="8">
        <x:v>147.25</x:v>
      </x:c>
      <x:c r="H27" s="8">
        <x:v>441.75</x:v>
      </x:c>
      <x:c r="I27" s="0" t="s">
        <x:v>23</x:v>
      </x:c>
      <x:c r="K27" s="8">
        <x:v>441.75</x:v>
      </x:c>
      <x:c r="L27" s="0" t="s">
        <x:v>24</x:v>
      </x:c>
      <x:c r="M27" s="0" t="s">
        <x:v>25</x:v>
      </x:c>
      <x:c r="N27" s="0" t="s">
        <x:v>26</x:v>
      </x:c>
      <x:c r="P27" s="0" t="s">
        <x:v>27</x:v>
      </x:c>
    </x:row>
    <x:row r="28" spans="1:20">
      <x:c r="A28" s="0">
        <x:v>27</x:v>
      </x:c>
      <x:c r="B28" s="0" t="s">
        <x:v>51</x:v>
      </x:c>
      <x:c r="C28" s="0" t="s">
        <x:v>21</x:v>
      </x:c>
      <x:c r="D28" s="0" t="s">
        <x:v>22</x:v>
      </x:c>
      <x:c r="E28" s="0">
        <x:v>1</x:v>
      </x:c>
      <x:c r="F28" s="0">
        <x:v>5</x:v>
      </x:c>
      <x:c r="G28" s="8">
        <x:v>59.13</x:v>
      </x:c>
      <x:c r="H28" s="8">
        <x:v>295.66</x:v>
      </x:c>
      <x:c r="I28" s="0" t="s">
        <x:v>23</x:v>
      </x:c>
      <x:c r="K28" s="8">
        <x:v>295.66</x:v>
      </x:c>
      <x:c r="L28" s="0" t="s">
        <x:v>24</x:v>
      </x:c>
      <x:c r="M28" s="0" t="s">
        <x:v>25</x:v>
      </x:c>
      <x:c r="N28" s="0" t="s">
        <x:v>26</x:v>
      </x:c>
      <x:c r="P28" s="0" t="s">
        <x:v>27</x:v>
      </x:c>
    </x:row>
    <x:row r="29" spans="1:20">
      <x:c r="A29" s="0">
        <x:v>28</x:v>
      </x:c>
      <x:c r="B29" s="0" t="s">
        <x:v>52</x:v>
      </x:c>
      <x:c r="C29" s="0" t="s">
        <x:v>21</x:v>
      </x:c>
      <x:c r="D29" s="0" t="s">
        <x:v>22</x:v>
      </x:c>
      <x:c r="E29" s="0">
        <x:v>1</x:v>
      </x:c>
      <x:c r="F29" s="0">
        <x:v>1</x:v>
      </x:c>
      <x:c r="G29" s="8">
        <x:v>270</x:v>
      </x:c>
      <x:c r="H29" s="8">
        <x:v>270</x:v>
      </x:c>
      <x:c r="I29" s="0" t="s">
        <x:v>23</x:v>
      </x:c>
      <x:c r="K29" s="8">
        <x:v>270</x:v>
      </x:c>
      <x:c r="L29" s="0" t="s">
        <x:v>24</x:v>
      </x:c>
      <x:c r="M29" s="0" t="s">
        <x:v>25</x:v>
      </x:c>
      <x:c r="N29" s="0" t="s">
        <x:v>26</x:v>
      </x:c>
      <x:c r="P29" s="0" t="s">
        <x:v>27</x:v>
      </x:c>
    </x:row>
    <x:row r="30" spans="1:20">
      <x:c r="A30" s="0">
        <x:v>29</x:v>
      </x:c>
      <x:c r="B30" s="0" t="s">
        <x:v>53</x:v>
      </x:c>
      <x:c r="C30" s="0" t="s">
        <x:v>21</x:v>
      </x:c>
      <x:c r="D30" s="0" t="s">
        <x:v>22</x:v>
      </x:c>
      <x:c r="E30" s="0">
        <x:v>1</x:v>
      </x:c>
      <x:c r="F30" s="0">
        <x:v>2</x:v>
      </x:c>
      <x:c r="G30" s="8">
        <x:v>40</x:v>
      </x:c>
      <x:c r="H30" s="8">
        <x:v>80</x:v>
      </x:c>
      <x:c r="I30" s="0" t="s">
        <x:v>23</x:v>
      </x:c>
      <x:c r="K30" s="8">
        <x:v>80</x:v>
      </x:c>
      <x:c r="L30" s="0" t="s">
        <x:v>24</x:v>
      </x:c>
      <x:c r="M30" s="0" t="s">
        <x:v>25</x:v>
      </x:c>
      <x:c r="N30" s="0" t="s">
        <x:v>26</x:v>
      </x:c>
      <x:c r="P30" s="0" t="s">
        <x:v>27</x:v>
      </x:c>
    </x:row>
    <x:row r="31" spans="1:20">
      <x:c r="A31" s="0">
        <x:v>30</x:v>
      </x:c>
      <x:c r="B31" s="0" t="s">
        <x:v>54</x:v>
      </x:c>
      <x:c r="C31" s="0" t="s">
        <x:v>21</x:v>
      </x:c>
      <x:c r="D31" s="0" t="s">
        <x:v>22</x:v>
      </x:c>
      <x:c r="E31" s="0">
        <x:v>1</x:v>
      </x:c>
      <x:c r="F31" s="0">
        <x:v>1</x:v>
      </x:c>
      <x:c r="G31" s="8">
        <x:v>230</x:v>
      </x:c>
      <x:c r="H31" s="8">
        <x:v>230</x:v>
      </x:c>
      <x:c r="I31" s="0" t="s">
        <x:v>23</x:v>
      </x:c>
      <x:c r="K31" s="8">
        <x:v>230</x:v>
      </x:c>
      <x:c r="L31" s="0" t="s">
        <x:v>24</x:v>
      </x:c>
      <x:c r="M31" s="0" t="s">
        <x:v>25</x:v>
      </x:c>
      <x:c r="N31" s="0" t="s">
        <x:v>26</x:v>
      </x:c>
      <x:c r="P31" s="0" t="s">
        <x:v>27</x:v>
      </x:c>
    </x:row>
    <x:row r="32" spans="1:20">
      <x:c r="A32" s="0">
        <x:v>31</x:v>
      </x:c>
      <x:c r="B32" s="0" t="s">
        <x:v>55</x:v>
      </x:c>
      <x:c r="C32" s="0" t="s">
        <x:v>21</x:v>
      </x:c>
      <x:c r="D32" s="0" t="s">
        <x:v>22</x:v>
      </x:c>
      <x:c r="E32" s="0">
        <x:v>1</x:v>
      </x:c>
      <x:c r="F32" s="0">
        <x:v>5</x:v>
      </x:c>
      <x:c r="G32" s="8">
        <x:v>340.97</x:v>
      </x:c>
      <x:c r="H32" s="8">
        <x:v>1704.83</x:v>
      </x:c>
      <x:c r="I32" s="0" t="s">
        <x:v>23</x:v>
      </x:c>
      <x:c r="K32" s="8">
        <x:v>1704.83</x:v>
      </x:c>
      <x:c r="L32" s="0" t="s">
        <x:v>24</x:v>
      </x:c>
      <x:c r="M32" s="0" t="s">
        <x:v>25</x:v>
      </x:c>
      <x:c r="N32" s="0" t="s">
        <x:v>26</x:v>
      </x:c>
      <x:c r="P32" s="0" t="s">
        <x:v>27</x:v>
      </x:c>
    </x:row>
    <x:row r="33" spans="1:20">
      <x:c r="A33" s="0">
        <x:v>32</x:v>
      </x:c>
      <x:c r="B33" s="0" t="s">
        <x:v>57</x:v>
      </x:c>
      <x:c r="C33" s="0" t="s">
        <x:v>21</x:v>
      </x:c>
      <x:c r="D33" s="0" t="s">
        <x:v>22</x:v>
      </x:c>
      <x:c r="E33" s="0">
        <x:v>1</x:v>
      </x:c>
      <x:c r="F33" s="0">
        <x:v>5</x:v>
      </x:c>
      <x:c r="G33" s="8">
        <x:v>137.9</x:v>
      </x:c>
      <x:c r="H33" s="8">
        <x:v>689.5</x:v>
      </x:c>
      <x:c r="I33" s="0" t="s">
        <x:v>23</x:v>
      </x:c>
      <x:c r="K33" s="8">
        <x:v>689.5</x:v>
      </x:c>
      <x:c r="L33" s="0" t="s">
        <x:v>24</x:v>
      </x:c>
      <x:c r="M33" s="0" t="s">
        <x:v>25</x:v>
      </x:c>
      <x:c r="N33" s="0" t="s">
        <x:v>26</x:v>
      </x:c>
      <x:c r="P33" s="0" t="s">
        <x:v>27</x:v>
      </x:c>
    </x:row>
    <x:row r="34" spans="1:20">
      <x:c r="A34" s="0">
        <x:v>33</x:v>
      </x:c>
      <x:c r="B34" s="0" t="s">
        <x:v>60</x:v>
      </x:c>
      <x:c r="C34" s="0" t="s">
        <x:v>21</x:v>
      </x:c>
      <x:c r="D34" s="0" t="s">
        <x:v>22</x:v>
      </x:c>
      <x:c r="E34" s="0">
        <x:v>1</x:v>
      </x:c>
      <x:c r="F34" s="0">
        <x:v>3</x:v>
      </x:c>
      <x:c r="G34" s="8">
        <x:v>137.61</x:v>
      </x:c>
      <x:c r="H34" s="8">
        <x:v>412.82</x:v>
      </x:c>
      <x:c r="I34" s="0" t="s">
        <x:v>23</x:v>
      </x:c>
      <x:c r="K34" s="8">
        <x:v>412.82</x:v>
      </x:c>
      <x:c r="L34" s="0" t="s">
        <x:v>24</x:v>
      </x:c>
      <x:c r="M34" s="0" t="s">
        <x:v>25</x:v>
      </x:c>
      <x:c r="N34" s="0" t="s">
        <x:v>26</x:v>
      </x:c>
      <x:c r="P34" s="0" t="s">
        <x:v>27</x:v>
      </x:c>
    </x:row>
    <x:row r="35" spans="1:20">
      <x:c r="H35" s="18">
        <x:f>SUM(H2:H34)</x:f>
      </x:c>
    </x:row>
    <x:row r="37" spans="1:20">
      <x:c r="B37" s="19" t="s">
        <x:v>163</x:v>
      </x:c>
      <x:c r="C37" s="20"/>
      <x:c r="D37" s="20"/>
      <x:c r="E37" s="20"/>
      <x:c r="F37" s="20"/>
      <x:c r="G37" s="20"/>
      <x:c r="H37" s="21">
        <x:f>SUM(H38:H40)</x:f>
      </x:c>
      <x:c r="I37" s="22" t="s">
        <x:v>164</x:v>
      </x:c>
    </x:row>
    <x:row r="38" spans="1:20">
      <x:c r="B38" s="21" t="s">
        <x:v>165</x:v>
      </x:c>
      <x:c r="C38" s="21"/>
      <x:c r="D38" s="21"/>
      <x:c r="E38" s="21"/>
      <x:c r="F38" s="20">
        <x:f>F2+F3+F4+F5+F6+F12+F13+F15+F16+F17+F22+F23+F24+F25+F26+F29+F33+F34</x:f>
      </x:c>
      <x:c r="G38" s="20">
        <x:f>G2+G3+G4+G5+G6+G12+G13+G15+G16+G17+G22+G23+G24+G25+G26+G29+G33+G34</x:f>
      </x:c>
      <x:c r="H38" s="20">
        <x:f>H2+H3+H4+H5+H6+H12+H13+H15+H16+H17+H22+H23+H24+H25+H26+H29+H33+H34</x:f>
      </x:c>
      <x:c r="I38" s="15"/>
    </x:row>
    <x:row r="39" spans="1:20">
      <x:c r="B39" s="21" t="s">
        <x:v>166</x:v>
      </x:c>
      <x:c r="C39" s="21"/>
      <x:c r="D39" s="21"/>
      <x:c r="E39" s="21"/>
      <x:c r="F39" s="20"/>
      <x:c r="G39" s="20"/>
      <x:c r="H39" s="20"/>
      <x:c r="I39" s="15"/>
    </x:row>
    <x:row r="40" spans="1:20">
      <x:c r="B40" s="21" t="s">
        <x:v>167</x:v>
      </x:c>
      <x:c r="C40" s="21"/>
      <x:c r="D40" s="21"/>
      <x:c r="E40" s="21"/>
      <x:c r="F40" s="20">
        <x:f>F7+F28+F30</x:f>
      </x:c>
      <x:c r="G40" s="20">
        <x:f>G7+G28+G30</x:f>
      </x:c>
      <x:c r="H40" s="20">
        <x:f>H7+H28+H30</x:f>
      </x:c>
      <x:c r="I40" s="15"/>
    </x:row>
    <x:row r="41" spans="1:20">
      <x:c r="B41" s="19" t="s">
        <x:v>168</x:v>
      </x:c>
      <x:c r="C41" s="20"/>
      <x:c r="D41" s="20"/>
      <x:c r="E41" s="20"/>
      <x:c r="F41" s="20"/>
      <x:c r="G41" s="20"/>
      <x:c r="H41" s="21">
        <x:f>SUM(H42:H48)</x:f>
      </x:c>
      <x:c r="I41" s="22" t="s">
        <x:v>169</x:v>
      </x:c>
    </x:row>
    <x:row r="42" spans="1:20">
      <x:c r="B42" s="21" t="s">
        <x:v>170</x:v>
      </x:c>
      <x:c r="C42" s="21"/>
      <x:c r="D42" s="21"/>
      <x:c r="E42" s="21"/>
      <x:c r="F42" s="20">
        <x:f>F8+F9+F10</x:f>
      </x:c>
      <x:c r="G42" s="20">
        <x:f>G8+G9+G10</x:f>
      </x:c>
      <x:c r="H42" s="20">
        <x:f>H8+H9+H10</x:f>
      </x:c>
      <x:c r="I42" s="15"/>
    </x:row>
    <x:row r="43" spans="1:20">
      <x:c r="B43" s="21" t="s">
        <x:v>171</x:v>
      </x:c>
      <x:c r="C43" s="21"/>
      <x:c r="D43" s="21"/>
      <x:c r="E43" s="21"/>
      <x:c r="F43" s="20">
        <x:f>F14</x:f>
      </x:c>
      <x:c r="G43" s="20">
        <x:f>G14</x:f>
      </x:c>
      <x:c r="H43" s="20">
        <x:f>H14</x:f>
      </x:c>
      <x:c r="I43" s="15"/>
    </x:row>
    <x:row r="44" spans="1:20">
      <x:c r="B44" s="21" t="s">
        <x:v>172</x:v>
      </x:c>
      <x:c r="C44" s="21"/>
      <x:c r="D44" s="21"/>
      <x:c r="E44" s="21"/>
      <x:c r="F44" s="20"/>
      <x:c r="G44" s="20"/>
      <x:c r="H44" s="20"/>
      <x:c r="I44" s="15"/>
    </x:row>
    <x:row r="45" spans="1:20">
      <x:c r="B45" s="21" t="s">
        <x:v>173</x:v>
      </x:c>
      <x:c r="C45" s="21"/>
      <x:c r="D45" s="21"/>
      <x:c r="E45" s="21"/>
      <x:c r="F45" s="20">
        <x:f>F11</x:f>
      </x:c>
      <x:c r="G45" s="20">
        <x:f>G11</x:f>
      </x:c>
      <x:c r="H45" s="20">
        <x:f>H11</x:f>
      </x:c>
      <x:c r="I45" s="15"/>
    </x:row>
    <x:row r="46" spans="1:20">
      <x:c r="B46" s="21" t="s">
        <x:v>174</x:v>
      </x:c>
      <x:c r="C46" s="21"/>
      <x:c r="D46" s="21"/>
      <x:c r="E46" s="21"/>
      <x:c r="F46" s="20"/>
      <x:c r="G46" s="20"/>
      <x:c r="H46" s="20"/>
      <x:c r="I46" s="15"/>
    </x:row>
    <x:row r="47" spans="1:20">
      <x:c r="B47" s="21" t="s">
        <x:v>70</x:v>
      </x:c>
      <x:c r="C47" s="21"/>
      <x:c r="D47" s="21"/>
      <x:c r="E47" s="21"/>
      <x:c r="F47" s="20"/>
      <x:c r="G47" s="20"/>
      <x:c r="H47" s="20"/>
      <x:c r="I47" s="15"/>
    </x:row>
    <x:row r="48" spans="1:20">
      <x:c r="B48" s="21" t="s">
        <x:v>175</x:v>
      </x:c>
      <x:c r="C48" s="21"/>
      <x:c r="D48" s="21"/>
      <x:c r="E48" s="21"/>
      <x:c r="F48" s="20"/>
      <x:c r="G48" s="20"/>
      <x:c r="H48" s="20"/>
      <x:c r="I48" s="15"/>
    </x:row>
    <x:row r="49" spans="1:20">
      <x:c r="B49" s="19" t="s">
        <x:v>176</x:v>
      </x:c>
      <x:c r="C49" s="20"/>
      <x:c r="D49" s="20"/>
      <x:c r="E49" s="20"/>
      <x:c r="F49" s="20"/>
      <x:c r="G49" s="20"/>
      <x:c r="H49" s="21">
        <x:f>SUM(H50:H55)</x:f>
      </x:c>
      <x:c r="I49" s="22" t="s">
        <x:v>177</x:v>
      </x:c>
    </x:row>
    <x:row r="50" spans="1:20">
      <x:c r="B50" s="21" t="s">
        <x:v>178</x:v>
      </x:c>
      <x:c r="C50" s="21"/>
      <x:c r="D50" s="21"/>
      <x:c r="E50" s="21"/>
      <x:c r="F50" s="20"/>
      <x:c r="G50" s="20"/>
      <x:c r="H50" s="20"/>
      <x:c r="I50" s="15"/>
    </x:row>
    <x:row r="51" spans="1:20">
      <x:c r="B51" s="21" t="s">
        <x:v>179</x:v>
      </x:c>
      <x:c r="C51" s="21"/>
      <x:c r="D51" s="21"/>
      <x:c r="E51" s="21"/>
      <x:c r="F51" s="20">
        <x:f>F32</x:f>
      </x:c>
      <x:c r="G51" s="20">
        <x:f>G32</x:f>
      </x:c>
      <x:c r="H51" s="20">
        <x:f>H32</x:f>
      </x:c>
      <x:c r="I51" s="15"/>
    </x:row>
    <x:row r="52" spans="1:20">
      <x:c r="B52" s="21" t="s">
        <x:v>54</x:v>
      </x:c>
      <x:c r="C52" s="21"/>
      <x:c r="D52" s="21"/>
      <x:c r="E52" s="21"/>
      <x:c r="F52" s="20">
        <x:f>F31</x:f>
      </x:c>
      <x:c r="G52" s="20">
        <x:f>G31</x:f>
      </x:c>
      <x:c r="H52" s="20">
        <x:f>H31</x:f>
      </x:c>
      <x:c r="I52" s="15"/>
    </x:row>
    <x:row r="53" spans="1:20">
      <x:c r="B53" s="21" t="s">
        <x:v>180</x:v>
      </x:c>
      <x:c r="C53" s="21"/>
      <x:c r="D53" s="21"/>
      <x:c r="E53" s="21"/>
      <x:c r="F53" s="20">
        <x:f>F18+F19</x:f>
      </x:c>
      <x:c r="G53" s="20">
        <x:f>G18+G19</x:f>
      </x:c>
      <x:c r="H53" s="20">
        <x:f>H18+H19</x:f>
      </x:c>
      <x:c r="I53" s="15"/>
    </x:row>
    <x:row r="54" spans="1:20">
      <x:c r="B54" s="21" t="s">
        <x:v>181</x:v>
      </x:c>
      <x:c r="C54" s="21"/>
      <x:c r="D54" s="21"/>
      <x:c r="E54" s="21"/>
      <x:c r="F54" s="20">
        <x:f>F21+F27</x:f>
      </x:c>
      <x:c r="G54" s="20">
        <x:f>G21+G27</x:f>
      </x:c>
      <x:c r="H54" s="20">
        <x:f>H21+H27</x:f>
      </x:c>
      <x:c r="I54" s="15"/>
    </x:row>
    <x:row r="55" spans="1:20">
      <x:c r="B55" s="21" t="s">
        <x:v>182</x:v>
      </x:c>
      <x:c r="C55" s="21"/>
      <x:c r="D55" s="21"/>
      <x:c r="E55" s="21"/>
      <x:c r="F55" s="20">
        <x:f>F20</x:f>
      </x:c>
      <x:c r="G55" s="20">
        <x:f>G20</x:f>
      </x:c>
      <x:c r="H55" s="20">
        <x:f>H20</x:f>
      </x:c>
      <x:c r="I55" s="15"/>
    </x:row>
    <x:row r="56" spans="1:20">
      <x:c r="B56" s="19" t="s">
        <x:v>183</x:v>
      </x:c>
      <x:c r="C56" s="20"/>
      <x:c r="D56" s="20"/>
      <x:c r="E56" s="20"/>
      <x:c r="F56" s="20"/>
      <x:c r="G56" s="20"/>
      <x:c r="H56" s="21">
        <x:f>SUM(H57:H58)</x:f>
      </x:c>
      <x:c r="I56" s="22"/>
    </x:row>
    <x:row r="57" spans="1:20">
      <x:c r="B57" s="21" t="s">
        <x:v>184</x:v>
      </x:c>
      <x:c r="C57" s="21"/>
      <x:c r="D57" s="21"/>
      <x:c r="E57" s="21"/>
      <x:c r="F57" s="20"/>
      <x:c r="G57" s="20"/>
      <x:c r="H57" s="20"/>
      <x:c r="I57" s="15"/>
    </x:row>
    <x:row r="58" spans="1:20">
      <x:c r="B58" s="21" t="s">
        <x:v>185</x:v>
      </x:c>
      <x:c r="C58" s="21"/>
      <x:c r="D58" s="21"/>
      <x:c r="E58" s="21"/>
      <x:c r="F58" s="20"/>
      <x:c r="G58" s="20"/>
      <x:c r="H58" s="20"/>
      <x:c r="I58" s="15"/>
    </x:row>
    <x:row r="59" spans="1:20">
      <x:c r="B59" s="22"/>
      <x:c r="C59" s="22"/>
      <x:c r="D59" s="22"/>
      <x:c r="E59" s="22"/>
      <x:c r="F59" s="15"/>
      <x:c r="G59" s="15"/>
      <x:c r="H59" s="22">
        <x:f>H37+H41+H49+H56</x:f>
      </x:c>
      <x:c r="I59" s="15"/>
    </x:row>
    <x:row r="60" spans="1:20">
      <x:c r="H60" s="17">
        <x:f>H59 - H35</x:f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392D992-0956-7F43-9A1F-989A23AD9A52}" mc:Ignorable="x14ac xr xr2 xr3">
  <x:sheetPr>
    <x:outlinePr summaryBelow="1" summaryRight="1"/>
  </x:sheetPr>
  <x:dimension ref="A1:T41"/>
  <x:sheetViews>
    <x:sheetView topLeftCell="A41" zoomScale="93" zoomScaleNormal="93" workbookViewId="0">
      <x:selection activeCell="A42" sqref="A42 A42:K74"/>
    </x:sheetView>
  </x:sheetViews>
  <x:sheetFormatPr defaultColWidth="11.210625" defaultRowHeight="15.75"/>
  <x:cols>
    <x:col min="1" max="1" width="11.210625" style="0" customWidth="1"/>
    <x:col min="2" max="2" width="30.125" style="0" customWidth="1"/>
    <x:col min="3" max="3" width="3.375" style="0" customWidth="1"/>
    <x:col min="4" max="4" width="2.875" style="0" customWidth="1"/>
    <x:col min="5" max="5" width="2.125" style="0" customWidth="1"/>
  </x:cols>
  <x:sheetData>
    <x:row r="1" spans="1:2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</x:row>
    <x:row r="2" spans="1:20">
      <x:c r="A2" s="0">
        <x:v>1</x:v>
      </x:c>
      <x:c r="B2" s="0" t="s">
        <x:v>143</x:v>
      </x:c>
      <x:c r="C2" s="0" t="s">
        <x:v>21</x:v>
      </x:c>
      <x:c r="D2" s="0" t="s">
        <x:v>22</x:v>
      </x:c>
      <x:c r="E2" s="0">
        <x:v>1</x:v>
      </x:c>
      <x:c r="F2" s="0">
        <x:v>1</x:v>
      </x:c>
      <x:c r="G2" s="8">
        <x:v>300</x:v>
      </x:c>
      <x:c r="H2" s="8">
        <x:v>300</x:v>
      </x:c>
      <x:c r="I2" s="0" t="s">
        <x:v>23</x:v>
      </x:c>
      <x:c r="K2" s="8">
        <x:v>300</x:v>
      </x:c>
      <x:c r="L2" s="0" t="s">
        <x:v>24</x:v>
      </x:c>
      <x:c r="M2" s="0" t="s">
        <x:v>25</x:v>
      </x:c>
      <x:c r="N2" s="0" t="s">
        <x:v>26</x:v>
      </x:c>
      <x:c r="P2" s="0" t="s">
        <x:v>27</x:v>
      </x:c>
    </x:row>
    <x:row r="3" spans="1:20">
      <x:c r="A3" s="0">
        <x:v>2</x:v>
      </x:c>
      <x:c r="B3" s="0" t="s">
        <x:v>91</x:v>
      </x:c>
      <x:c r="C3" s="0" t="s">
        <x:v>21</x:v>
      </x:c>
      <x:c r="D3" s="0" t="s">
        <x:v>22</x:v>
      </x:c>
      <x:c r="E3" s="0">
        <x:v>1</x:v>
      </x:c>
      <x:c r="F3" s="0">
        <x:v>1</x:v>
      </x:c>
      <x:c r="G3" s="8">
        <x:v>297.5</x:v>
      </x:c>
      <x:c r="H3" s="8">
        <x:v>297.5</x:v>
      </x:c>
      <x:c r="I3" s="0" t="s">
        <x:v>23</x:v>
      </x:c>
      <x:c r="K3" s="8">
        <x:v>297.5</x:v>
      </x:c>
      <x:c r="L3" s="0" t="s">
        <x:v>24</x:v>
      </x:c>
      <x:c r="M3" s="0" t="s">
        <x:v>25</x:v>
      </x:c>
      <x:c r="N3" s="0" t="s">
        <x:v>26</x:v>
      </x:c>
      <x:c r="P3" s="0" t="s">
        <x:v>27</x:v>
      </x:c>
    </x:row>
    <x:row r="4" spans="1:20">
      <x:c r="A4" s="0">
        <x:v>3</x:v>
      </x:c>
      <x:c r="B4" s="0" t="s">
        <x:v>20</x:v>
      </x:c>
      <x:c r="C4" s="0" t="s">
        <x:v>21</x:v>
      </x:c>
      <x:c r="D4" s="0" t="s">
        <x:v>22</x:v>
      </x:c>
      <x:c r="E4" s="0">
        <x:v>1</x:v>
      </x:c>
      <x:c r="F4" s="0">
        <x:v>2</x:v>
      </x:c>
      <x:c r="G4" s="8">
        <x:v>150</x:v>
      </x:c>
      <x:c r="H4" s="8">
        <x:v>300</x:v>
      </x:c>
      <x:c r="I4" s="0" t="s">
        <x:v>23</x:v>
      </x:c>
      <x:c r="K4" s="8">
        <x:v>300</x:v>
      </x:c>
      <x:c r="L4" s="0" t="s">
        <x:v>24</x:v>
      </x:c>
      <x:c r="M4" s="0" t="s">
        <x:v>25</x:v>
      </x:c>
      <x:c r="N4" s="0" t="s">
        <x:v>26</x:v>
      </x:c>
      <x:c r="P4" s="0" t="s">
        <x:v>27</x:v>
      </x:c>
    </x:row>
    <x:row r="5" spans="1:20">
      <x:c r="A5" s="0">
        <x:v>4</x:v>
      </x:c>
      <x:c r="B5" s="0" t="s">
        <x:v>74</x:v>
      </x:c>
      <x:c r="C5" s="0" t="s">
        <x:v>21</x:v>
      </x:c>
      <x:c r="D5" s="0" t="s">
        <x:v>22</x:v>
      </x:c>
      <x:c r="E5" s="0">
        <x:v>1</x:v>
      </x:c>
      <x:c r="F5" s="0">
        <x:v>3</x:v>
      </x:c>
      <x:c r="G5" s="8">
        <x:v>210.89</x:v>
      </x:c>
      <x:c r="H5" s="8">
        <x:v>632.67</x:v>
      </x:c>
      <x:c r="I5" s="0" t="s">
        <x:v>23</x:v>
      </x:c>
      <x:c r="K5" s="8">
        <x:v>632.67</x:v>
      </x:c>
      <x:c r="L5" s="0" t="s">
        <x:v>24</x:v>
      </x:c>
      <x:c r="M5" s="0" t="s">
        <x:v>25</x:v>
      </x:c>
      <x:c r="N5" s="0" t="s">
        <x:v>26</x:v>
      </x:c>
      <x:c r="P5" s="0" t="s">
        <x:v>27</x:v>
      </x:c>
    </x:row>
    <x:row r="6" spans="1:20">
      <x:c r="A6" s="0">
        <x:v>5</x:v>
      </x:c>
      <x:c r="B6" s="0" t="s">
        <x:v>29</x:v>
      </x:c>
      <x:c r="C6" s="0" t="s">
        <x:v>21</x:v>
      </x:c>
      <x:c r="D6" s="0" t="s">
        <x:v>22</x:v>
      </x:c>
      <x:c r="E6" s="0">
        <x:v>1</x:v>
      </x:c>
      <x:c r="F6" s="0">
        <x:v>7</x:v>
      </x:c>
      <x:c r="G6" s="8">
        <x:v>235.64</x:v>
      </x:c>
      <x:c r="H6" s="8">
        <x:v>1649.5</x:v>
      </x:c>
      <x:c r="I6" s="0" t="s">
        <x:v>23</x:v>
      </x:c>
      <x:c r="K6" s="8">
        <x:v>1649.5</x:v>
      </x:c>
      <x:c r="L6" s="0" t="s">
        <x:v>24</x:v>
      </x:c>
      <x:c r="M6" s="0" t="s">
        <x:v>25</x:v>
      </x:c>
      <x:c r="N6" s="0" t="s">
        <x:v>26</x:v>
      </x:c>
      <x:c r="P6" s="0" t="s">
        <x:v>27</x:v>
      </x:c>
    </x:row>
    <x:row r="7" spans="1:20">
      <x:c r="A7" s="0">
        <x:v>6</x:v>
      </x:c>
      <x:c r="B7" s="0" t="s">
        <x:v>30</x:v>
      </x:c>
      <x:c r="C7" s="0" t="s">
        <x:v>21</x:v>
      </x:c>
      <x:c r="D7" s="0" t="s">
        <x:v>22</x:v>
      </x:c>
      <x:c r="E7" s="0">
        <x:v>1</x:v>
      </x:c>
      <x:c r="F7" s="0">
        <x:v>8</x:v>
      </x:c>
      <x:c r="G7" s="8">
        <x:v>325.88</x:v>
      </x:c>
      <x:c r="H7" s="8">
        <x:v>2607</x:v>
      </x:c>
      <x:c r="I7" s="0" t="s">
        <x:v>23</x:v>
      </x:c>
      <x:c r="K7" s="8">
        <x:v>2607</x:v>
      </x:c>
      <x:c r="L7" s="0" t="s">
        <x:v>24</x:v>
      </x:c>
      <x:c r="M7" s="0" t="s">
        <x:v>25</x:v>
      </x:c>
      <x:c r="N7" s="0" t="s">
        <x:v>26</x:v>
      </x:c>
      <x:c r="P7" s="0" t="s">
        <x:v>27</x:v>
      </x:c>
    </x:row>
    <x:row r="8" spans="1:20">
      <x:c r="A8" s="0">
        <x:v>7</x:v>
      </x:c>
      <x:c r="B8" s="0" t="s">
        <x:v>31</x:v>
      </x:c>
      <x:c r="C8" s="0" t="s">
        <x:v>21</x:v>
      </x:c>
      <x:c r="D8" s="0" t="s">
        <x:v>22</x:v>
      </x:c>
      <x:c r="E8" s="0">
        <x:v>1</x:v>
      </x:c>
      <x:c r="F8" s="0">
        <x:v>1</x:v>
      </x:c>
      <x:c r="G8" s="8">
        <x:v>100</x:v>
      </x:c>
      <x:c r="H8" s="8">
        <x:v>100</x:v>
      </x:c>
      <x:c r="I8" s="0" t="s">
        <x:v>23</x:v>
      </x:c>
      <x:c r="K8" s="8">
        <x:v>100</x:v>
      </x:c>
      <x:c r="L8" s="0" t="s">
        <x:v>24</x:v>
      </x:c>
      <x:c r="M8" s="0" t="s">
        <x:v>25</x:v>
      </x:c>
      <x:c r="N8" s="0" t="s">
        <x:v>26</x:v>
      </x:c>
      <x:c r="P8" s="0" t="s">
        <x:v>27</x:v>
      </x:c>
    </x:row>
    <x:row r="9" spans="1:20">
      <x:c r="A9" s="0">
        <x:v>8</x:v>
      </x:c>
      <x:c r="B9" s="0" t="s">
        <x:v>80</x:v>
      </x:c>
      <x:c r="C9" s="0" t="s">
        <x:v>21</x:v>
      </x:c>
      <x:c r="D9" s="0" t="s">
        <x:v>34</x:v>
      </x:c>
      <x:c r="E9" s="0">
        <x:v>1</x:v>
      </x:c>
      <x:c r="F9" s="0">
        <x:v>0.2</x:v>
      </x:c>
      <x:c r="G9" s="8">
        <x:v>3380</x:v>
      </x:c>
      <x:c r="H9" s="8">
        <x:v>676</x:v>
      </x:c>
      <x:c r="I9" s="0" t="s">
        <x:v>23</x:v>
      </x:c>
      <x:c r="K9" s="8">
        <x:v>676</x:v>
      </x:c>
      <x:c r="L9" s="0" t="s">
        <x:v>24</x:v>
      </x:c>
      <x:c r="M9" s="0" t="s">
        <x:v>25</x:v>
      </x:c>
      <x:c r="N9" s="0" t="s">
        <x:v>26</x:v>
      </x:c>
      <x:c r="P9" s="0" t="s">
        <x:v>27</x:v>
      </x:c>
    </x:row>
    <x:row r="10" spans="1:20">
      <x:c r="A10" s="0">
        <x:v>9</x:v>
      </x:c>
      <x:c r="B10" s="0" t="s">
        <x:v>93</x:v>
      </x:c>
      <x:c r="C10" s="0" t="s">
        <x:v>21</x:v>
      </x:c>
      <x:c r="D10" s="0" t="s">
        <x:v>34</x:v>
      </x:c>
      <x:c r="E10" s="0">
        <x:v>1</x:v>
      </x:c>
      <x:c r="F10" s="0">
        <x:v>0.1</x:v>
      </x:c>
      <x:c r="G10" s="8">
        <x:v>3480</x:v>
      </x:c>
      <x:c r="H10" s="8">
        <x:v>348</x:v>
      </x:c>
      <x:c r="I10" s="0" t="s">
        <x:v>23</x:v>
      </x:c>
      <x:c r="K10" s="8">
        <x:v>348</x:v>
      </x:c>
      <x:c r="L10" s="0" t="s">
        <x:v>24</x:v>
      </x:c>
      <x:c r="M10" s="0" t="s">
        <x:v>25</x:v>
      </x:c>
      <x:c r="N10" s="0" t="s">
        <x:v>26</x:v>
      </x:c>
      <x:c r="P10" s="0" t="s">
        <x:v>27</x:v>
      </x:c>
    </x:row>
    <x:row r="11" spans="1:20">
      <x:c r="A11" s="0">
        <x:v>10</x:v>
      </x:c>
      <x:c r="B11" s="0" t="s">
        <x:v>67</x:v>
      </x:c>
      <x:c r="C11" s="0" t="s">
        <x:v>21</x:v>
      </x:c>
      <x:c r="D11" s="0" t="s">
        <x:v>34</x:v>
      </x:c>
      <x:c r="E11" s="0">
        <x:v>1</x:v>
      </x:c>
      <x:c r="F11" s="0">
        <x:v>0.1</x:v>
      </x:c>
      <x:c r="G11" s="8">
        <x:v>3180</x:v>
      </x:c>
      <x:c r="H11" s="8">
        <x:v>318</x:v>
      </x:c>
      <x:c r="I11" s="0" t="s">
        <x:v>23</x:v>
      </x:c>
      <x:c r="K11" s="8">
        <x:v>318</x:v>
      </x:c>
      <x:c r="L11" s="0" t="s">
        <x:v>24</x:v>
      </x:c>
      <x:c r="M11" s="0" t="s">
        <x:v>25</x:v>
      </x:c>
      <x:c r="N11" s="0" t="s">
        <x:v>26</x:v>
      </x:c>
      <x:c r="P11" s="0" t="s">
        <x:v>27</x:v>
      </x:c>
    </x:row>
    <x:row r="12" spans="1:20">
      <x:c r="A12" s="0">
        <x:v>11</x:v>
      </x:c>
      <x:c r="B12" s="0" t="s">
        <x:v>35</x:v>
      </x:c>
      <x:c r="C12" s="0" t="s">
        <x:v>21</x:v>
      </x:c>
      <x:c r="D12" s="0" t="s">
        <x:v>34</x:v>
      </x:c>
      <x:c r="E12" s="0">
        <x:v>1</x:v>
      </x:c>
      <x:c r="F12" s="0">
        <x:v>0.2</x:v>
      </x:c>
      <x:c r="G12" s="8">
        <x:v>3380</x:v>
      </x:c>
      <x:c r="H12" s="8">
        <x:v>676</x:v>
      </x:c>
      <x:c r="I12" s="0" t="s">
        <x:v>23</x:v>
      </x:c>
      <x:c r="K12" s="8">
        <x:v>676</x:v>
      </x:c>
      <x:c r="L12" s="0" t="s">
        <x:v>24</x:v>
      </x:c>
      <x:c r="M12" s="0" t="s">
        <x:v>25</x:v>
      </x:c>
      <x:c r="N12" s="0" t="s">
        <x:v>26</x:v>
      </x:c>
      <x:c r="P12" s="0" t="s">
        <x:v>27</x:v>
      </x:c>
    </x:row>
    <x:row r="13" spans="1:20">
      <x:c r="A13" s="0">
        <x:v>12</x:v>
      </x:c>
      <x:c r="B13" s="0" t="s">
        <x:v>70</x:v>
      </x:c>
      <x:c r="C13" s="0" t="s">
        <x:v>21</x:v>
      </x:c>
      <x:c r="D13" s="0" t="s">
        <x:v>22</x:v>
      </x:c>
      <x:c r="E13" s="0">
        <x:v>1</x:v>
      </x:c>
      <x:c r="F13" s="0">
        <x:v>4</x:v>
      </x:c>
      <x:c r="G13" s="8">
        <x:v>240.63</x:v>
      </x:c>
      <x:c r="H13" s="8">
        <x:v>962.5</x:v>
      </x:c>
      <x:c r="I13" s="0" t="s">
        <x:v>23</x:v>
      </x:c>
      <x:c r="K13" s="8">
        <x:v>962.5</x:v>
      </x:c>
      <x:c r="L13" s="0" t="s">
        <x:v>24</x:v>
      </x:c>
      <x:c r="M13" s="0" t="s">
        <x:v>25</x:v>
      </x:c>
      <x:c r="N13" s="0" t="s">
        <x:v>26</x:v>
      </x:c>
      <x:c r="P13" s="0" t="s">
        <x:v>27</x:v>
      </x:c>
    </x:row>
    <x:row r="14" spans="1:20">
      <x:c r="A14" s="0">
        <x:v>13</x:v>
      </x:c>
      <x:c r="B14" s="0" t="s">
        <x:v>126</x:v>
      </x:c>
      <x:c r="C14" s="0" t="s">
        <x:v>21</x:v>
      </x:c>
      <x:c r="D14" s="0" t="s">
        <x:v>22</x:v>
      </x:c>
      <x:c r="E14" s="0">
        <x:v>1</x:v>
      </x:c>
      <x:c r="F14" s="0">
        <x:v>2</x:v>
      </x:c>
      <x:c r="G14" s="8">
        <x:v>171</x:v>
      </x:c>
      <x:c r="H14" s="8">
        <x:v>342</x:v>
      </x:c>
      <x:c r="I14" s="0" t="s">
        <x:v>23</x:v>
      </x:c>
      <x:c r="K14" s="8">
        <x:v>342</x:v>
      </x:c>
      <x:c r="L14" s="0" t="s">
        <x:v>24</x:v>
      </x:c>
      <x:c r="M14" s="0" t="s">
        <x:v>25</x:v>
      </x:c>
      <x:c r="N14" s="0" t="s">
        <x:v>26</x:v>
      </x:c>
      <x:c r="P14" s="0" t="s">
        <x:v>27</x:v>
      </x:c>
    </x:row>
    <x:row r="15" spans="1:20">
      <x:c r="A15" s="0">
        <x:v>14</x:v>
      </x:c>
      <x:c r="B15" s="0" t="s">
        <x:v>39</x:v>
      </x:c>
      <x:c r="C15" s="0" t="s">
        <x:v>21</x:v>
      </x:c>
      <x:c r="D15" s="0" t="s">
        <x:v>22</x:v>
      </x:c>
      <x:c r="E15" s="0">
        <x:v>1</x:v>
      </x:c>
      <x:c r="F15" s="0">
        <x:v>7</x:v>
      </x:c>
      <x:c r="G15" s="8">
        <x:v>250</x:v>
      </x:c>
      <x:c r="H15" s="8">
        <x:v>1750</x:v>
      </x:c>
      <x:c r="I15" s="0" t="s">
        <x:v>23</x:v>
      </x:c>
      <x:c r="K15" s="8">
        <x:v>1750</x:v>
      </x:c>
      <x:c r="L15" s="0" t="s">
        <x:v>24</x:v>
      </x:c>
      <x:c r="M15" s="0" t="s">
        <x:v>25</x:v>
      </x:c>
      <x:c r="N15" s="0" t="s">
        <x:v>26</x:v>
      </x:c>
      <x:c r="P15" s="0" t="s">
        <x:v>27</x:v>
      </x:c>
    </x:row>
    <x:row r="16" spans="1:20">
      <x:c r="A16" s="0">
        <x:v>15</x:v>
      </x:c>
      <x:c r="B16" s="0" t="s">
        <x:v>40</x:v>
      </x:c>
      <x:c r="C16" s="0" t="s">
        <x:v>21</x:v>
      </x:c>
      <x:c r="D16" s="0" t="s">
        <x:v>22</x:v>
      </x:c>
      <x:c r="E16" s="0">
        <x:v>1</x:v>
      </x:c>
      <x:c r="F16" s="0">
        <x:v>1</x:v>
      </x:c>
      <x:c r="G16" s="8">
        <x:v>400</x:v>
      </x:c>
      <x:c r="H16" s="8">
        <x:v>400</x:v>
      </x:c>
      <x:c r="I16" s="0" t="s">
        <x:v>23</x:v>
      </x:c>
      <x:c r="K16" s="8">
        <x:v>400</x:v>
      </x:c>
      <x:c r="L16" s="0" t="s">
        <x:v>24</x:v>
      </x:c>
      <x:c r="M16" s="0" t="s">
        <x:v>25</x:v>
      </x:c>
      <x:c r="N16" s="0" t="s">
        <x:v>26</x:v>
      </x:c>
      <x:c r="P16" s="0" t="s">
        <x:v>27</x:v>
      </x:c>
    </x:row>
    <x:row r="17" spans="1:20">
      <x:c r="A17" s="0">
        <x:v>16</x:v>
      </x:c>
      <x:c r="B17" s="0" t="s">
        <x:v>41</x:v>
      </x:c>
      <x:c r="C17" s="0" t="s">
        <x:v>21</x:v>
      </x:c>
      <x:c r="D17" s="0" t="s">
        <x:v>22</x:v>
      </x:c>
      <x:c r="E17" s="0">
        <x:v>1</x:v>
      </x:c>
      <x:c r="F17" s="0">
        <x:v>2</x:v>
      </x:c>
      <x:c r="G17" s="8">
        <x:v>300</x:v>
      </x:c>
      <x:c r="H17" s="8">
        <x:v>600</x:v>
      </x:c>
      <x:c r="I17" s="0" t="s">
        <x:v>23</x:v>
      </x:c>
      <x:c r="K17" s="8">
        <x:v>600</x:v>
      </x:c>
      <x:c r="L17" s="0" t="s">
        <x:v>24</x:v>
      </x:c>
      <x:c r="M17" s="0" t="s">
        <x:v>25</x:v>
      </x:c>
      <x:c r="N17" s="0" t="s">
        <x:v>26</x:v>
      </x:c>
      <x:c r="P17" s="0" t="s">
        <x:v>27</x:v>
      </x:c>
    </x:row>
    <x:row r="18" spans="1:20">
      <x:c r="A18" s="0">
        <x:v>17</x:v>
      </x:c>
      <x:c r="B18" s="0" t="s">
        <x:v>43</x:v>
      </x:c>
      <x:c r="C18" s="0" t="s">
        <x:v>21</x:v>
      </x:c>
      <x:c r="D18" s="0" t="s">
        <x:v>22</x:v>
      </x:c>
      <x:c r="E18" s="0">
        <x:v>1</x:v>
      </x:c>
      <x:c r="F18" s="0">
        <x:v>1</x:v>
      </x:c>
      <x:c r="G18" s="8">
        <x:v>220</x:v>
      </x:c>
      <x:c r="H18" s="8">
        <x:v>220</x:v>
      </x:c>
      <x:c r="I18" s="0" t="s">
        <x:v>23</x:v>
      </x:c>
      <x:c r="K18" s="8">
        <x:v>220</x:v>
      </x:c>
      <x:c r="L18" s="0" t="s">
        <x:v>24</x:v>
      </x:c>
      <x:c r="M18" s="0" t="s">
        <x:v>25</x:v>
      </x:c>
      <x:c r="N18" s="0" t="s">
        <x:v>26</x:v>
      </x:c>
      <x:c r="P18" s="0" t="s">
        <x:v>27</x:v>
      </x:c>
    </x:row>
    <x:row r="19" spans="1:20">
      <x:c r="A19" s="0">
        <x:v>18</x:v>
      </x:c>
      <x:c r="B19" s="0" t="s">
        <x:v>44</x:v>
      </x:c>
      <x:c r="C19" s="0" t="s">
        <x:v>21</x:v>
      </x:c>
      <x:c r="D19" s="0" t="s">
        <x:v>22</x:v>
      </x:c>
      <x:c r="E19" s="0">
        <x:v>1</x:v>
      </x:c>
      <x:c r="F19" s="0">
        <x:v>5</x:v>
      </x:c>
      <x:c r="G19" s="8">
        <x:v>85</x:v>
      </x:c>
      <x:c r="H19" s="8">
        <x:v>425</x:v>
      </x:c>
      <x:c r="I19" s="0" t="s">
        <x:v>23</x:v>
      </x:c>
      <x:c r="K19" s="8">
        <x:v>425</x:v>
      </x:c>
      <x:c r="L19" s="0" t="s">
        <x:v>24</x:v>
      </x:c>
      <x:c r="M19" s="0" t="s">
        <x:v>25</x:v>
      </x:c>
      <x:c r="N19" s="0" t="s">
        <x:v>26</x:v>
      </x:c>
      <x:c r="P19" s="0" t="s">
        <x:v>27</x:v>
      </x:c>
    </x:row>
    <x:row r="20" spans="1:20">
      <x:c r="A20" s="0">
        <x:v>19</x:v>
      </x:c>
      <x:c r="B20" s="0" t="s">
        <x:v>45</x:v>
      </x:c>
      <x:c r="C20" s="0" t="s">
        <x:v>21</x:v>
      </x:c>
      <x:c r="D20" s="0" t="s">
        <x:v>22</x:v>
      </x:c>
      <x:c r="E20" s="0">
        <x:v>1</x:v>
      </x:c>
      <x:c r="F20" s="0">
        <x:v>3</x:v>
      </x:c>
      <x:c r="G20" s="8">
        <x:v>101.6</x:v>
      </x:c>
      <x:c r="H20" s="8">
        <x:v>304.81</x:v>
      </x:c>
      <x:c r="I20" s="0" t="s">
        <x:v>23</x:v>
      </x:c>
      <x:c r="K20" s="8">
        <x:v>304.81</x:v>
      </x:c>
      <x:c r="L20" s="0" t="s">
        <x:v>24</x:v>
      </x:c>
      <x:c r="M20" s="0" t="s">
        <x:v>25</x:v>
      </x:c>
      <x:c r="N20" s="0" t="s">
        <x:v>26</x:v>
      </x:c>
      <x:c r="P20" s="0" t="s">
        <x:v>27</x:v>
      </x:c>
    </x:row>
    <x:row r="21" spans="1:20">
      <x:c r="A21" s="0">
        <x:v>20</x:v>
      </x:c>
      <x:c r="B21" s="0" t="s">
        <x:v>47</x:v>
      </x:c>
      <x:c r="C21" s="0" t="s">
        <x:v>21</x:v>
      </x:c>
      <x:c r="D21" s="0" t="s">
        <x:v>22</x:v>
      </x:c>
      <x:c r="E21" s="0">
        <x:v>1</x:v>
      </x:c>
      <x:c r="F21" s="0">
        <x:v>4</x:v>
      </x:c>
      <x:c r="G21" s="8">
        <x:v>264.67</x:v>
      </x:c>
      <x:c r="H21" s="8">
        <x:v>1058.69</x:v>
      </x:c>
      <x:c r="I21" s="0" t="s">
        <x:v>23</x:v>
      </x:c>
      <x:c r="K21" s="8">
        <x:v>1058.69</x:v>
      </x:c>
      <x:c r="L21" s="0" t="s">
        <x:v>24</x:v>
      </x:c>
      <x:c r="M21" s="0" t="s">
        <x:v>25</x:v>
      </x:c>
      <x:c r="N21" s="0" t="s">
        <x:v>26</x:v>
      </x:c>
      <x:c r="P21" s="0" t="s">
        <x:v>27</x:v>
      </x:c>
    </x:row>
    <x:row r="22" spans="1:20">
      <x:c r="A22" s="0">
        <x:v>21</x:v>
      </x:c>
      <x:c r="B22" s="0" t="s">
        <x:v>104</x:v>
      </x:c>
      <x:c r="C22" s="0" t="s">
        <x:v>21</x:v>
      </x:c>
      <x:c r="D22" s="0" t="s">
        <x:v>34</x:v>
      </x:c>
      <x:c r="E22" s="0">
        <x:v>1</x:v>
      </x:c>
      <x:c r="F22" s="0">
        <x:v>0.1</x:v>
      </x:c>
      <x:c r="G22" s="8">
        <x:v>3400</x:v>
      </x:c>
      <x:c r="H22" s="8">
        <x:v>340</x:v>
      </x:c>
      <x:c r="I22" s="0" t="s">
        <x:v>23</x:v>
      </x:c>
      <x:c r="K22" s="8">
        <x:v>340</x:v>
      </x:c>
      <x:c r="L22" s="0" t="s">
        <x:v>24</x:v>
      </x:c>
      <x:c r="M22" s="0" t="s">
        <x:v>25</x:v>
      </x:c>
      <x:c r="N22" s="0" t="s">
        <x:v>26</x:v>
      </x:c>
      <x:c r="P22" s="0" t="s">
        <x:v>27</x:v>
      </x:c>
    </x:row>
    <x:row r="23" spans="1:20">
      <x:c r="A23" s="0">
        <x:v>22</x:v>
      </x:c>
      <x:c r="B23" s="0" t="s">
        <x:v>105</x:v>
      </x:c>
      <x:c r="C23" s="0" t="s">
        <x:v>21</x:v>
      </x:c>
      <x:c r="D23" s="0" t="s">
        <x:v>34</x:v>
      </x:c>
      <x:c r="E23" s="0">
        <x:v>1</x:v>
      </x:c>
      <x:c r="F23" s="0">
        <x:v>0.1</x:v>
      </x:c>
      <x:c r="G23" s="8">
        <x:v>3560</x:v>
      </x:c>
      <x:c r="H23" s="8">
        <x:v>356</x:v>
      </x:c>
      <x:c r="I23" s="0" t="s">
        <x:v>23</x:v>
      </x:c>
      <x:c r="K23" s="8">
        <x:v>356</x:v>
      </x:c>
      <x:c r="L23" s="0" t="s">
        <x:v>24</x:v>
      </x:c>
      <x:c r="M23" s="0" t="s">
        <x:v>25</x:v>
      </x:c>
      <x:c r="N23" s="0" t="s">
        <x:v>26</x:v>
      </x:c>
      <x:c r="P23" s="0" t="s">
        <x:v>27</x:v>
      </x:c>
    </x:row>
    <x:row r="24" spans="1:20">
      <x:c r="A24" s="0">
        <x:v>23</x:v>
      </x:c>
      <x:c r="B24" s="0" t="s">
        <x:v>71</x:v>
      </x:c>
      <x:c r="C24" s="0" t="s">
        <x:v>21</x:v>
      </x:c>
      <x:c r="D24" s="0" t="s">
        <x:v>22</x:v>
      </x:c>
      <x:c r="E24" s="0">
        <x:v>1</x:v>
      </x:c>
      <x:c r="F24" s="0">
        <x:v>1</x:v>
      </x:c>
      <x:c r="G24" s="8">
        <x:v>150</x:v>
      </x:c>
      <x:c r="H24" s="8">
        <x:v>150</x:v>
      </x:c>
      <x:c r="I24" s="0" t="s">
        <x:v>23</x:v>
      </x:c>
      <x:c r="K24" s="8">
        <x:v>150</x:v>
      </x:c>
      <x:c r="L24" s="0" t="s">
        <x:v>24</x:v>
      </x:c>
      <x:c r="M24" s="0" t="s">
        <x:v>25</x:v>
      </x:c>
      <x:c r="N24" s="0" t="s">
        <x:v>26</x:v>
      </x:c>
      <x:c r="P24" s="0" t="s">
        <x:v>27</x:v>
      </x:c>
    </x:row>
    <x:row r="25" spans="1:20">
      <x:c r="A25" s="0">
        <x:v>24</x:v>
      </x:c>
      <x:c r="B25" s="0" t="s">
        <x:v>95</x:v>
      </x:c>
      <x:c r="C25" s="0" t="s">
        <x:v>21</x:v>
      </x:c>
      <x:c r="D25" s="0" t="s">
        <x:v>22</x:v>
      </x:c>
      <x:c r="E25" s="0">
        <x:v>1</x:v>
      </x:c>
      <x:c r="F25" s="0">
        <x:v>2</x:v>
      </x:c>
      <x:c r="G25" s="8">
        <x:v>300</x:v>
      </x:c>
      <x:c r="H25" s="8">
        <x:v>600</x:v>
      </x:c>
      <x:c r="I25" s="0" t="s">
        <x:v>23</x:v>
      </x:c>
      <x:c r="K25" s="8">
        <x:v>600</x:v>
      </x:c>
      <x:c r="L25" s="0" t="s">
        <x:v>24</x:v>
      </x:c>
      <x:c r="M25" s="0" t="s">
        <x:v>25</x:v>
      </x:c>
      <x:c r="N25" s="0" t="s">
        <x:v>26</x:v>
      </x:c>
      <x:c r="P25" s="0" t="s">
        <x:v>27</x:v>
      </x:c>
    </x:row>
    <x:row r="26" spans="1:20">
      <x:c r="A26" s="0">
        <x:v>25</x:v>
      </x:c>
      <x:c r="B26" s="0" t="s">
        <x:v>144</x:v>
      </x:c>
      <x:c r="C26" s="0" t="s">
        <x:v>21</x:v>
      </x:c>
      <x:c r="D26" s="0" t="s">
        <x:v>22</x:v>
      </x:c>
      <x:c r="E26" s="0">
        <x:v>1</x:v>
      </x:c>
      <x:c r="F26" s="0">
        <x:v>1</x:v>
      </x:c>
      <x:c r="G26" s="8">
        <x:v>15</x:v>
      </x:c>
      <x:c r="H26" s="8">
        <x:v>15</x:v>
      </x:c>
      <x:c r="I26" s="0" t="s">
        <x:v>23</x:v>
      </x:c>
      <x:c r="K26" s="8">
        <x:v>15</x:v>
      </x:c>
      <x:c r="L26" s="0" t="s">
        <x:v>24</x:v>
      </x:c>
      <x:c r="M26" s="0" t="s">
        <x:v>25</x:v>
      </x:c>
      <x:c r="N26" s="0" t="s">
        <x:v>26</x:v>
      </x:c>
      <x:c r="P26" s="0" t="s">
        <x:v>27</x:v>
      </x:c>
    </x:row>
    <x:row r="27" spans="1:20">
      <x:c r="A27" s="0">
        <x:v>26</x:v>
      </x:c>
      <x:c r="B27" s="0" t="s">
        <x:v>145</x:v>
      </x:c>
      <x:c r="C27" s="0" t="s">
        <x:v>21</x:v>
      </x:c>
      <x:c r="D27" s="0" t="s">
        <x:v>34</x:v>
      </x:c>
      <x:c r="E27" s="0">
        <x:v>1</x:v>
      </x:c>
      <x:c r="F27" s="0">
        <x:v>0.1</x:v>
      </x:c>
      <x:c r="G27" s="8">
        <x:v>3150</x:v>
      </x:c>
      <x:c r="H27" s="8">
        <x:v>315</x:v>
      </x:c>
      <x:c r="I27" s="0" t="s">
        <x:v>23</x:v>
      </x:c>
      <x:c r="K27" s="8">
        <x:v>315</x:v>
      </x:c>
      <x:c r="L27" s="0" t="s">
        <x:v>24</x:v>
      </x:c>
      <x:c r="M27" s="0" t="s">
        <x:v>25</x:v>
      </x:c>
      <x:c r="N27" s="0" t="s">
        <x:v>26</x:v>
      </x:c>
      <x:c r="P27" s="0" t="s">
        <x:v>27</x:v>
      </x:c>
    </x:row>
    <x:row r="28" spans="1:20">
      <x:c r="A28" s="0">
        <x:v>27</x:v>
      </x:c>
      <x:c r="B28" s="0" t="s">
        <x:v>146</x:v>
      </x:c>
      <x:c r="C28" s="0" t="s">
        <x:v>21</x:v>
      </x:c>
      <x:c r="D28" s="0" t="s">
        <x:v>34</x:v>
      </x:c>
      <x:c r="E28" s="0">
        <x:v>1</x:v>
      </x:c>
      <x:c r="F28" s="0">
        <x:v>0.1</x:v>
      </x:c>
      <x:c r="G28" s="8">
        <x:v>3854</x:v>
      </x:c>
      <x:c r="H28" s="8">
        <x:v>385.4</x:v>
      </x:c>
      <x:c r="I28" s="0" t="s">
        <x:v>23</x:v>
      </x:c>
      <x:c r="K28" s="8">
        <x:v>385.4</x:v>
      </x:c>
      <x:c r="L28" s="0" t="s">
        <x:v>24</x:v>
      </x:c>
      <x:c r="M28" s="0" t="s">
        <x:v>25</x:v>
      </x:c>
      <x:c r="N28" s="0" t="s">
        <x:v>26</x:v>
      </x:c>
      <x:c r="P28" s="0" t="s">
        <x:v>27</x:v>
      </x:c>
    </x:row>
    <x:row r="29" spans="1:20">
      <x:c r="A29" s="0">
        <x:v>28</x:v>
      </x:c>
      <x:c r="B29" s="0" t="s">
        <x:v>50</x:v>
      </x:c>
      <x:c r="C29" s="0" t="s">
        <x:v>21</x:v>
      </x:c>
      <x:c r="D29" s="0" t="s">
        <x:v>22</x:v>
      </x:c>
      <x:c r="E29" s="0">
        <x:v>1</x:v>
      </x:c>
      <x:c r="F29" s="0">
        <x:v>4</x:v>
      </x:c>
      <x:c r="G29" s="8">
        <x:v>157.5</x:v>
      </x:c>
      <x:c r="H29" s="8">
        <x:v>630</x:v>
      </x:c>
      <x:c r="I29" s="0" t="s">
        <x:v>23</x:v>
      </x:c>
      <x:c r="K29" s="8">
        <x:v>630</x:v>
      </x:c>
      <x:c r="L29" s="0" t="s">
        <x:v>24</x:v>
      </x:c>
      <x:c r="M29" s="0" t="s">
        <x:v>25</x:v>
      </x:c>
      <x:c r="N29" s="0" t="s">
        <x:v>26</x:v>
      </x:c>
      <x:c r="P29" s="0" t="s">
        <x:v>27</x:v>
      </x:c>
    </x:row>
    <x:row r="30" spans="1:20">
      <x:c r="A30" s="0">
        <x:v>29</x:v>
      </x:c>
      <x:c r="B30" s="0" t="s">
        <x:v>51</x:v>
      </x:c>
      <x:c r="C30" s="0" t="s">
        <x:v>21</x:v>
      </x:c>
      <x:c r="D30" s="0" t="s">
        <x:v>22</x:v>
      </x:c>
      <x:c r="E30" s="0">
        <x:v>1</x:v>
      </x:c>
      <x:c r="F30" s="0">
        <x:v>3</x:v>
      </x:c>
      <x:c r="G30" s="8">
        <x:v>40.65</x:v>
      </x:c>
      <x:c r="H30" s="8">
        <x:v>121.94</x:v>
      </x:c>
      <x:c r="I30" s="0" t="s">
        <x:v>23</x:v>
      </x:c>
      <x:c r="K30" s="8">
        <x:v>121.94</x:v>
      </x:c>
      <x:c r="L30" s="0" t="s">
        <x:v>24</x:v>
      </x:c>
      <x:c r="M30" s="0" t="s">
        <x:v>25</x:v>
      </x:c>
      <x:c r="N30" s="0" t="s">
        <x:v>26</x:v>
      </x:c>
      <x:c r="P30" s="0" t="s">
        <x:v>27</x:v>
      </x:c>
    </x:row>
    <x:row r="31" spans="1:20">
      <x:c r="A31" s="0">
        <x:v>30</x:v>
      </x:c>
      <x:c r="B31" s="0" t="s">
        <x:v>52</x:v>
      </x:c>
      <x:c r="C31" s="0" t="s">
        <x:v>21</x:v>
      </x:c>
      <x:c r="D31" s="0" t="s">
        <x:v>22</x:v>
      </x:c>
      <x:c r="E31" s="0">
        <x:v>1</x:v>
      </x:c>
      <x:c r="F31" s="0">
        <x:v>2</x:v>
      </x:c>
      <x:c r="G31" s="8">
        <x:v>270</x:v>
      </x:c>
      <x:c r="H31" s="8">
        <x:v>540</x:v>
      </x:c>
      <x:c r="I31" s="0" t="s">
        <x:v>23</x:v>
      </x:c>
      <x:c r="K31" s="8">
        <x:v>540</x:v>
      </x:c>
      <x:c r="L31" s="0" t="s">
        <x:v>24</x:v>
      </x:c>
      <x:c r="M31" s="0" t="s">
        <x:v>25</x:v>
      </x:c>
      <x:c r="N31" s="0" t="s">
        <x:v>26</x:v>
      </x:c>
      <x:c r="P31" s="0" t="s">
        <x:v>27</x:v>
      </x:c>
    </x:row>
    <x:row r="32" spans="1:20">
      <x:c r="A32" s="0">
        <x:v>31</x:v>
      </x:c>
      <x:c r="B32" s="0" t="s">
        <x:v>137</x:v>
      </x:c>
      <x:c r="C32" s="0" t="s">
        <x:v>21</x:v>
      </x:c>
      <x:c r="D32" s="0" t="s">
        <x:v>22</x:v>
      </x:c>
      <x:c r="E32" s="0">
        <x:v>1</x:v>
      </x:c>
      <x:c r="F32" s="0">
        <x:v>2</x:v>
      </x:c>
      <x:c r="G32" s="8">
        <x:v>220.67</x:v>
      </x:c>
      <x:c r="H32" s="8">
        <x:v>441.33</x:v>
      </x:c>
      <x:c r="I32" s="0" t="s">
        <x:v>23</x:v>
      </x:c>
      <x:c r="K32" s="8">
        <x:v>441.33</x:v>
      </x:c>
      <x:c r="L32" s="0" t="s">
        <x:v>24</x:v>
      </x:c>
      <x:c r="M32" s="0" t="s">
        <x:v>25</x:v>
      </x:c>
      <x:c r="N32" s="0" t="s">
        <x:v>26</x:v>
      </x:c>
      <x:c r="P32" s="0" t="s">
        <x:v>27</x:v>
      </x:c>
    </x:row>
    <x:row r="33" spans="1:20">
      <x:c r="A33" s="0">
        <x:v>32</x:v>
      </x:c>
      <x:c r="B33" s="0" t="s">
        <x:v>53</x:v>
      </x:c>
      <x:c r="C33" s="0" t="s">
        <x:v>21</x:v>
      </x:c>
      <x:c r="D33" s="0" t="s">
        <x:v>22</x:v>
      </x:c>
      <x:c r="E33" s="0">
        <x:v>1</x:v>
      </x:c>
      <x:c r="F33" s="0">
        <x:v>1</x:v>
      </x:c>
      <x:c r="G33" s="8">
        <x:v>40</x:v>
      </x:c>
      <x:c r="H33" s="8">
        <x:v>40</x:v>
      </x:c>
      <x:c r="I33" s="0" t="s">
        <x:v>23</x:v>
      </x:c>
      <x:c r="K33" s="8">
        <x:v>40</x:v>
      </x:c>
      <x:c r="L33" s="0" t="s">
        <x:v>24</x:v>
      </x:c>
      <x:c r="M33" s="0" t="s">
        <x:v>25</x:v>
      </x:c>
      <x:c r="N33" s="0" t="s">
        <x:v>26</x:v>
      </x:c>
      <x:c r="P33" s="0" t="s">
        <x:v>27</x:v>
      </x:c>
    </x:row>
    <x:row r="34" spans="1:20">
      <x:c r="A34" s="0">
        <x:v>33</x:v>
      </x:c>
      <x:c r="B34" s="0" t="s">
        <x:v>54</x:v>
      </x:c>
      <x:c r="C34" s="0" t="s">
        <x:v>21</x:v>
      </x:c>
      <x:c r="D34" s="0" t="s">
        <x:v>22</x:v>
      </x:c>
      <x:c r="E34" s="0">
        <x:v>1</x:v>
      </x:c>
      <x:c r="F34" s="0">
        <x:v>1</x:v>
      </x:c>
      <x:c r="G34" s="8">
        <x:v>230</x:v>
      </x:c>
      <x:c r="H34" s="8">
        <x:v>230</x:v>
      </x:c>
      <x:c r="I34" s="0" t="s">
        <x:v>23</x:v>
      </x:c>
      <x:c r="K34" s="8">
        <x:v>230</x:v>
      </x:c>
      <x:c r="L34" s="0" t="s">
        <x:v>24</x:v>
      </x:c>
      <x:c r="M34" s="0" t="s">
        <x:v>25</x:v>
      </x:c>
      <x:c r="N34" s="0" t="s">
        <x:v>26</x:v>
      </x:c>
      <x:c r="P34" s="0" t="s">
        <x:v>27</x:v>
      </x:c>
    </x:row>
    <x:row r="35" spans="1:20">
      <x:c r="A35" s="0">
        <x:v>34</x:v>
      </x:c>
      <x:c r="B35" s="0" t="s">
        <x:v>55</x:v>
      </x:c>
      <x:c r="C35" s="0" t="s">
        <x:v>21</x:v>
      </x:c>
      <x:c r="D35" s="0" t="s">
        <x:v>22</x:v>
      </x:c>
      <x:c r="E35" s="0">
        <x:v>1</x:v>
      </x:c>
      <x:c r="F35" s="0">
        <x:v>4</x:v>
      </x:c>
      <x:c r="G35" s="8">
        <x:v>350</x:v>
      </x:c>
      <x:c r="H35" s="8">
        <x:v>1400</x:v>
      </x:c>
      <x:c r="I35" s="0" t="s">
        <x:v>23</x:v>
      </x:c>
      <x:c r="K35" s="8">
        <x:v>1400</x:v>
      </x:c>
      <x:c r="L35" s="0" t="s">
        <x:v>24</x:v>
      </x:c>
      <x:c r="M35" s="0" t="s">
        <x:v>25</x:v>
      </x:c>
      <x:c r="N35" s="0" t="s">
        <x:v>26</x:v>
      </x:c>
      <x:c r="P35" s="0" t="s">
        <x:v>27</x:v>
      </x:c>
    </x:row>
    <x:row r="36" spans="1:20">
      <x:c r="A36" s="0">
        <x:v>35</x:v>
      </x:c>
      <x:c r="B36" s="0" t="s">
        <x:v>56</x:v>
      </x:c>
      <x:c r="C36" s="0" t="s">
        <x:v>21</x:v>
      </x:c>
      <x:c r="D36" s="0" t="s">
        <x:v>22</x:v>
      </x:c>
      <x:c r="E36" s="0">
        <x:v>1</x:v>
      </x:c>
      <x:c r="F36" s="0">
        <x:v>1</x:v>
      </x:c>
      <x:c r="G36" s="8">
        <x:v>350</x:v>
      </x:c>
      <x:c r="H36" s="8">
        <x:v>350</x:v>
      </x:c>
      <x:c r="I36" s="0" t="s">
        <x:v>23</x:v>
      </x:c>
      <x:c r="K36" s="8">
        <x:v>350</x:v>
      </x:c>
      <x:c r="L36" s="0" t="s">
        <x:v>24</x:v>
      </x:c>
      <x:c r="M36" s="0" t="s">
        <x:v>25</x:v>
      </x:c>
      <x:c r="N36" s="0" t="s">
        <x:v>26</x:v>
      </x:c>
      <x:c r="P36" s="0" t="s">
        <x:v>27</x:v>
      </x:c>
    </x:row>
    <x:row r="37" spans="1:20">
      <x:c r="A37" s="0">
        <x:v>36</x:v>
      </x:c>
      <x:c r="B37" s="0" t="s">
        <x:v>57</x:v>
      </x:c>
      <x:c r="C37" s="0" t="s">
        <x:v>21</x:v>
      </x:c>
      <x:c r="D37" s="0" t="s">
        <x:v>22</x:v>
      </x:c>
      <x:c r="E37" s="0">
        <x:v>1</x:v>
      </x:c>
      <x:c r="F37" s="0">
        <x:v>3</x:v>
      </x:c>
      <x:c r="G37" s="8">
        <x:v>150</x:v>
      </x:c>
      <x:c r="H37" s="8">
        <x:v>450</x:v>
      </x:c>
      <x:c r="I37" s="0" t="s">
        <x:v>23</x:v>
      </x:c>
      <x:c r="K37" s="8">
        <x:v>450</x:v>
      </x:c>
      <x:c r="L37" s="0" t="s">
        <x:v>24</x:v>
      </x:c>
      <x:c r="M37" s="0" t="s">
        <x:v>25</x:v>
      </x:c>
      <x:c r="N37" s="0" t="s">
        <x:v>26</x:v>
      </x:c>
      <x:c r="P37" s="0" t="s">
        <x:v>27</x:v>
      </x:c>
    </x:row>
    <x:row r="38" spans="1:20">
      <x:c r="A38" s="0">
        <x:v>37</x:v>
      </x:c>
      <x:c r="B38" s="0" t="s">
        <x:v>58</x:v>
      </x:c>
      <x:c r="C38" s="0" t="s">
        <x:v>21</x:v>
      </x:c>
      <x:c r="D38" s="0" t="s">
        <x:v>22</x:v>
      </x:c>
      <x:c r="E38" s="0">
        <x:v>1</x:v>
      </x:c>
      <x:c r="F38" s="0">
        <x:v>3</x:v>
      </x:c>
      <x:c r="G38" s="8">
        <x:v>203.69</x:v>
      </x:c>
      <x:c r="H38" s="8">
        <x:v>611.06</x:v>
      </x:c>
      <x:c r="I38" s="0" t="s">
        <x:v>23</x:v>
      </x:c>
      <x:c r="K38" s="8">
        <x:v>611.06</x:v>
      </x:c>
      <x:c r="L38" s="0" t="s">
        <x:v>24</x:v>
      </x:c>
      <x:c r="M38" s="0" t="s">
        <x:v>25</x:v>
      </x:c>
      <x:c r="N38" s="0" t="s">
        <x:v>26</x:v>
      </x:c>
      <x:c r="P38" s="0" t="s">
        <x:v>27</x:v>
      </x:c>
    </x:row>
    <x:row r="39" spans="1:20">
      <x:c r="A39" s="0">
        <x:v>38</x:v>
      </x:c>
      <x:c r="B39" s="0" t="s">
        <x:v>111</x:v>
      </x:c>
      <x:c r="C39" s="0" t="s">
        <x:v>21</x:v>
      </x:c>
      <x:c r="D39" s="0" t="s">
        <x:v>34</x:v>
      </x:c>
      <x:c r="E39" s="0">
        <x:v>1</x:v>
      </x:c>
      <x:c r="F39" s="0">
        <x:v>0.1</x:v>
      </x:c>
      <x:c r="G39" s="8">
        <x:v>2700</x:v>
      </x:c>
      <x:c r="H39" s="8">
        <x:v>270</x:v>
      </x:c>
      <x:c r="I39" s="0" t="s">
        <x:v>23</x:v>
      </x:c>
      <x:c r="K39" s="8">
        <x:v>270</x:v>
      </x:c>
      <x:c r="L39" s="0" t="s">
        <x:v>24</x:v>
      </x:c>
      <x:c r="M39" s="0" t="s">
        <x:v>25</x:v>
      </x:c>
      <x:c r="N39" s="0" t="s">
        <x:v>26</x:v>
      </x:c>
      <x:c r="P39" s="0" t="s">
        <x:v>27</x:v>
      </x:c>
    </x:row>
    <x:row r="40" spans="1:20">
      <x:c r="A40" s="0">
        <x:v>39</x:v>
      </x:c>
      <x:c r="B40" s="0" t="s">
        <x:v>60</x:v>
      </x:c>
      <x:c r="C40" s="0" t="s">
        <x:v>21</x:v>
      </x:c>
      <x:c r="D40" s="0" t="s">
        <x:v>22</x:v>
      </x:c>
      <x:c r="E40" s="0">
        <x:v>1</x:v>
      </x:c>
      <x:c r="F40" s="0">
        <x:v>3</x:v>
      </x:c>
      <x:c r="G40" s="8">
        <x:v>145</x:v>
      </x:c>
      <x:c r="H40" s="8">
        <x:v>435</x:v>
      </x:c>
      <x:c r="I40" s="0" t="s">
        <x:v>23</x:v>
      </x:c>
      <x:c r="K40" s="8">
        <x:v>435</x:v>
      </x:c>
      <x:c r="L40" s="0" t="s">
        <x:v>24</x:v>
      </x:c>
      <x:c r="M40" s="0" t="s">
        <x:v>25</x:v>
      </x:c>
      <x:c r="N40" s="0" t="s">
        <x:v>26</x:v>
      </x:c>
      <x:c r="P40" s="0" t="s">
        <x:v>27</x:v>
      </x:c>
    </x:row>
    <x:row r="41" spans="1:20">
      <x:c r="A41" s="0">
        <x:v>40</x:v>
      </x:c>
      <x:c r="B41" s="0" t="s">
        <x:v>90</x:v>
      </x:c>
      <x:c r="C41" s="0" t="s">
        <x:v>21</x:v>
      </x:c>
      <x:c r="D41" s="0" t="s">
        <x:v>22</x:v>
      </x:c>
      <x:c r="E41" s="0">
        <x:v>1</x:v>
      </x:c>
      <x:c r="F41" s="0">
        <x:v>1</x:v>
      </x:c>
      <x:c r="G41" s="8">
        <x:v>45</x:v>
      </x:c>
      <x:c r="H41" s="8">
        <x:v>45</x:v>
      </x:c>
      <x:c r="I41" s="0" t="s">
        <x:v>23</x:v>
      </x:c>
      <x:c r="K41" s="8">
        <x:v>45</x:v>
      </x:c>
      <x:c r="L41" s="0" t="s">
        <x:v>24</x:v>
      </x:c>
      <x:c r="M41" s="0" t="s">
        <x:v>25</x:v>
      </x:c>
      <x:c r="N41" s="0" t="s">
        <x:v>26</x:v>
      </x:c>
      <x:c r="P41" s="0" t="s">
        <x:v>27</x:v>
      </x:c>
    </x:row>
    <x:row r="42" spans="1:20">
      <x:c r="H42" s="18">
        <x:f>SUM(H2:H41)</x:f>
      </x:c>
    </x:row>
    <x:row r="44" spans="1:20">
      <x:c r="B44" s="19" t="s">
        <x:v>163</x:v>
      </x:c>
      <x:c r="C44" s="20"/>
      <x:c r="D44" s="20"/>
      <x:c r="E44" s="20"/>
      <x:c r="F44" s="20"/>
      <x:c r="G44" s="20"/>
      <x:c r="H44" s="21">
        <x:f>SUM(H45:H47)</x:f>
      </x:c>
      <x:c r="I44" s="22" t="s">
        <x:v>164</x:v>
      </x:c>
    </x:row>
    <x:row r="45" spans="1:20">
      <x:c r="B45" s="21" t="s">
        <x:v>165</x:v>
      </x:c>
      <x:c r="C45" s="21"/>
      <x:c r="D45" s="21"/>
      <x:c r="E45" s="21"/>
      <x:c r="F45" s="20">
        <x:f>F2+F3+F4+F5+F6+F7+F13+F15+F16+F17+F21+F24+F25+F31+F32+F37+F38+F40</x:f>
      </x:c>
      <x:c r="G45" s="20">
        <x:f>G2+G3+G4+G5+G6+G7+G13+G15+G16+G17+G21+G24+G25+G31+G32+G37+G38+G40</x:f>
      </x:c>
      <x:c r="H45" s="20">
        <x:f>H2+H3+H4+H5+H6+H7+H13+H15+H16+H17+H21+H24+H25+H31+H32+H37+H38+H40</x:f>
      </x:c>
      <x:c r="I45" s="15"/>
    </x:row>
    <x:row r="46" spans="1:20">
      <x:c r="B46" s="21" t="s">
        <x:v>166</x:v>
      </x:c>
      <x:c r="C46" s="21"/>
      <x:c r="D46" s="21"/>
      <x:c r="E46" s="21"/>
      <x:c r="F46" s="20">
        <x:f>F26+F41</x:f>
      </x:c>
      <x:c r="G46" s="20">
        <x:f>G26+G41</x:f>
      </x:c>
      <x:c r="H46" s="20">
        <x:f>H26+H41</x:f>
      </x:c>
      <x:c r="I46" s="15"/>
    </x:row>
    <x:row r="47" spans="1:20">
      <x:c r="B47" s="21" t="s">
        <x:v>167</x:v>
      </x:c>
      <x:c r="C47" s="21"/>
      <x:c r="D47" s="21"/>
      <x:c r="E47" s="21"/>
      <x:c r="F47" s="20">
        <x:f>F8+F30+F33</x:f>
      </x:c>
      <x:c r="G47" s="20">
        <x:f>G8+G30+G33</x:f>
      </x:c>
      <x:c r="H47" s="20">
        <x:f>H8+H30+H33</x:f>
      </x:c>
      <x:c r="I47" s="15"/>
    </x:row>
    <x:row r="48" spans="1:20">
      <x:c r="B48" s="19" t="s">
        <x:v>168</x:v>
      </x:c>
      <x:c r="C48" s="20"/>
      <x:c r="D48" s="20"/>
      <x:c r="E48" s="20"/>
      <x:c r="F48" s="20"/>
      <x:c r="G48" s="20"/>
      <x:c r="H48" s="21">
        <x:f>SUM(H49:H55)</x:f>
      </x:c>
      <x:c r="I48" s="22" t="s">
        <x:v>169</x:v>
      </x:c>
    </x:row>
    <x:row r="49" spans="1:20">
      <x:c r="B49" s="21" t="s">
        <x:v>170</x:v>
      </x:c>
      <x:c r="C49" s="21"/>
      <x:c r="D49" s="21"/>
      <x:c r="E49" s="21"/>
      <x:c r="F49" s="20">
        <x:f>F9+F10+F11+F12</x:f>
      </x:c>
      <x:c r="G49" s="20">
        <x:f>G9+G10+G11+G12</x:f>
      </x:c>
      <x:c r="H49" s="20">
        <x:f>H9+H10+H11+H12</x:f>
      </x:c>
      <x:c r="I49" s="15"/>
    </x:row>
    <x:row r="50" spans="1:20">
      <x:c r="B50" s="21" t="s">
        <x:v>171</x:v>
      </x:c>
      <x:c r="C50" s="21"/>
      <x:c r="D50" s="21"/>
      <x:c r="E50" s="21"/>
      <x:c r="F50" s="20"/>
      <x:c r="G50" s="20"/>
      <x:c r="H50" s="20"/>
      <x:c r="I50" s="15"/>
    </x:row>
    <x:row r="51" spans="1:20">
      <x:c r="B51" s="21" t="s">
        <x:v>172</x:v>
      </x:c>
      <x:c r="C51" s="21"/>
      <x:c r="D51" s="21"/>
      <x:c r="E51" s="21"/>
      <x:c r="F51" s="20"/>
      <x:c r="G51" s="20"/>
      <x:c r="H51" s="20"/>
      <x:c r="I51" s="15"/>
    </x:row>
    <x:row r="52" spans="1:20">
      <x:c r="B52" s="21" t="s">
        <x:v>173</x:v>
      </x:c>
      <x:c r="C52" s="21"/>
      <x:c r="D52" s="21"/>
      <x:c r="E52" s="21"/>
      <x:c r="F52" s="20">
        <x:f>F22+F23+F27+F28+F39</x:f>
      </x:c>
      <x:c r="G52" s="20">
        <x:f>G22+G23+G27+G28+G39</x:f>
      </x:c>
      <x:c r="H52" s="20">
        <x:f>H22+H23+H27+H28+H39</x:f>
      </x:c>
      <x:c r="I52" s="15"/>
    </x:row>
    <x:row r="53" spans="1:20">
      <x:c r="B53" s="21" t="s">
        <x:v>174</x:v>
      </x:c>
      <x:c r="C53" s="21"/>
      <x:c r="D53" s="21"/>
      <x:c r="E53" s="21"/>
      <x:c r="F53" s="20"/>
      <x:c r="G53" s="20"/>
      <x:c r="H53" s="20"/>
      <x:c r="I53" s="15"/>
    </x:row>
    <x:row r="54" spans="1:20">
      <x:c r="B54" s="21" t="s">
        <x:v>70</x:v>
      </x:c>
      <x:c r="C54" s="21"/>
      <x:c r="D54" s="21"/>
      <x:c r="E54" s="21"/>
      <x:c r="F54" s="20"/>
      <x:c r="G54" s="20"/>
      <x:c r="H54" s="20"/>
      <x:c r="I54" s="15"/>
    </x:row>
    <x:row r="55" spans="1:20">
      <x:c r="B55" s="21" t="s">
        <x:v>175</x:v>
      </x:c>
      <x:c r="C55" s="21"/>
      <x:c r="D55" s="21"/>
      <x:c r="E55" s="21"/>
      <x:c r="F55" s="20"/>
      <x:c r="G55" s="20"/>
      <x:c r="H55" s="20"/>
      <x:c r="I55" s="15"/>
    </x:row>
    <x:row r="56" spans="1:20">
      <x:c r="B56" s="19" t="s">
        <x:v>176</x:v>
      </x:c>
      <x:c r="C56" s="20"/>
      <x:c r="D56" s="20"/>
      <x:c r="E56" s="20"/>
      <x:c r="F56" s="20"/>
      <x:c r="G56" s="20"/>
      <x:c r="H56" s="21">
        <x:f>SUM(H57:H62)</x:f>
      </x:c>
      <x:c r="I56" s="22" t="s">
        <x:v>177</x:v>
      </x:c>
    </x:row>
    <x:row r="57" spans="1:20">
      <x:c r="B57" s="21" t="s">
        <x:v>178</x:v>
      </x:c>
      <x:c r="C57" s="21"/>
      <x:c r="D57" s="21"/>
      <x:c r="E57" s="21"/>
      <x:c r="F57" s="20"/>
      <x:c r="G57" s="20"/>
      <x:c r="H57" s="20"/>
      <x:c r="I57" s="15"/>
    </x:row>
    <x:row r="58" spans="1:20">
      <x:c r="B58" s="21" t="s">
        <x:v>179</x:v>
      </x:c>
      <x:c r="C58" s="21"/>
      <x:c r="D58" s="21"/>
      <x:c r="E58" s="21"/>
      <x:c r="F58" s="20">
        <x:f>F35</x:f>
      </x:c>
      <x:c r="G58" s="20">
        <x:f>G35</x:f>
      </x:c>
      <x:c r="H58" s="20">
        <x:f>H35</x:f>
      </x:c>
      <x:c r="I58" s="15"/>
    </x:row>
    <x:row r="59" spans="1:20">
      <x:c r="B59" s="21" t="s">
        <x:v>54</x:v>
      </x:c>
      <x:c r="C59" s="21"/>
      <x:c r="D59" s="21"/>
      <x:c r="E59" s="21"/>
      <x:c r="F59" s="20">
        <x:f>F34</x:f>
      </x:c>
      <x:c r="G59" s="20">
        <x:f>G34</x:f>
      </x:c>
      <x:c r="H59" s="20">
        <x:f>H34</x:f>
      </x:c>
      <x:c r="I59" s="15"/>
    </x:row>
    <x:row r="60" spans="1:20">
      <x:c r="B60" s="21" t="s">
        <x:v>180</x:v>
      </x:c>
      <x:c r="C60" s="21"/>
      <x:c r="D60" s="21"/>
      <x:c r="E60" s="21"/>
      <x:c r="F60" s="20">
        <x:f>F14+F18+F36</x:f>
      </x:c>
      <x:c r="G60" s="20">
        <x:f>G14+G18+G36</x:f>
      </x:c>
      <x:c r="H60" s="20">
        <x:f>H14+H18+H36</x:f>
      </x:c>
      <x:c r="I60" s="15"/>
    </x:row>
    <x:row r="61" spans="1:20">
      <x:c r="B61" s="21" t="s">
        <x:v>181</x:v>
      </x:c>
      <x:c r="C61" s="21"/>
      <x:c r="D61" s="21"/>
      <x:c r="E61" s="21"/>
      <x:c r="F61" s="20">
        <x:f>F20+F29</x:f>
      </x:c>
      <x:c r="G61" s="20">
        <x:f>G20+G29</x:f>
      </x:c>
      <x:c r="H61" s="20">
        <x:f>H20+H29</x:f>
      </x:c>
      <x:c r="I61" s="15"/>
    </x:row>
    <x:row r="62" spans="1:20">
      <x:c r="B62" s="21" t="s">
        <x:v>182</x:v>
      </x:c>
      <x:c r="C62" s="21"/>
      <x:c r="D62" s="21"/>
      <x:c r="E62" s="21"/>
      <x:c r="F62" s="20">
        <x:f>F19</x:f>
      </x:c>
      <x:c r="G62" s="20">
        <x:f>G19</x:f>
      </x:c>
      <x:c r="H62" s="20">
        <x:f>H19</x:f>
      </x:c>
      <x:c r="I62" s="15"/>
    </x:row>
    <x:row r="63" spans="1:20">
      <x:c r="B63" s="19" t="s">
        <x:v>183</x:v>
      </x:c>
      <x:c r="C63" s="20"/>
      <x:c r="D63" s="20"/>
      <x:c r="E63" s="20"/>
      <x:c r="F63" s="20"/>
      <x:c r="G63" s="20"/>
      <x:c r="H63" s="21">
        <x:f>SUM(H64:H65)</x:f>
      </x:c>
      <x:c r="I63" s="22"/>
    </x:row>
    <x:row r="64" spans="1:20">
      <x:c r="B64" s="21" t="s">
        <x:v>184</x:v>
      </x:c>
      <x:c r="C64" s="21"/>
      <x:c r="D64" s="21"/>
      <x:c r="E64" s="21"/>
      <x:c r="F64" s="20"/>
      <x:c r="G64" s="20"/>
      <x:c r="H64" s="20"/>
      <x:c r="I64" s="15"/>
    </x:row>
    <x:row r="65" spans="1:20">
      <x:c r="B65" s="21" t="s">
        <x:v>185</x:v>
      </x:c>
      <x:c r="C65" s="21"/>
      <x:c r="D65" s="21"/>
      <x:c r="E65" s="21"/>
      <x:c r="F65" s="20"/>
      <x:c r="G65" s="20"/>
      <x:c r="H65" s="20"/>
      <x:c r="I65" s="15"/>
    </x:row>
    <x:row r="66" spans="1:20">
      <x:c r="B66" s="22"/>
      <x:c r="C66" s="22"/>
      <x:c r="D66" s="22"/>
      <x:c r="E66" s="22"/>
      <x:c r="F66" s="15"/>
      <x:c r="G66" s="15"/>
      <x:c r="H66" s="22">
        <x:f>H44+H48+H56+H63</x:f>
      </x:c>
      <x:c r="I66" s="15"/>
    </x:row>
    <x:row r="67" spans="1:20">
      <x:c r="H67" s="17">
        <x:f>H66 - H42</x:f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9131117-81C3-284C-A7A9-5F52FD3EAF9C}" mc:Ignorable="x14ac xr xr2 xr3">
  <x:sheetPr>
    <x:outlinePr summaryBelow="1" summaryRight="1"/>
  </x:sheetPr>
  <x:dimension ref="A1:T49"/>
  <x:sheetViews>
    <x:sheetView topLeftCell="A55" workbookViewId="0">
      <x:selection activeCell="A50" sqref="A50 A50:J88"/>
    </x:sheetView>
  </x:sheetViews>
  <x:sheetFormatPr defaultColWidth="11.210625" defaultRowHeight="15.75"/>
  <x:cols>
    <x:col min="1" max="1" width="11.210625" style="0" customWidth="1"/>
    <x:col min="2" max="2" width="31.375" style="0" customWidth="1"/>
    <x:col min="3" max="3" width="3.625" style="0" customWidth="1"/>
    <x:col min="4" max="4" width="2.625" style="0" customWidth="1"/>
    <x:col min="5" max="5" width="2" style="0" customWidth="1"/>
    <x:col min="6" max="6" width="10.875" style="0" customWidth="1"/>
  </x:cols>
  <x:sheetData>
    <x:row r="1" spans="1:2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</x:row>
    <x:row r="2" spans="1:20">
      <x:c r="A2" s="0">
        <x:v>1</x:v>
      </x:c>
      <x:c r="B2" s="0" t="s">
        <x:v>91</x:v>
      </x:c>
      <x:c r="C2" s="0" t="s">
        <x:v>21</x:v>
      </x:c>
      <x:c r="D2" s="0" t="s">
        <x:v>22</x:v>
      </x:c>
      <x:c r="E2" s="0">
        <x:v>1</x:v>
      </x:c>
      <x:c r="F2" s="0">
        <x:v>1</x:v>
      </x:c>
      <x:c r="G2" s="8">
        <x:v>350</x:v>
      </x:c>
      <x:c r="H2" s="8">
        <x:v>350</x:v>
      </x:c>
      <x:c r="I2" s="0" t="s">
        <x:v>23</x:v>
      </x:c>
      <x:c r="K2" s="8">
        <x:v>350</x:v>
      </x:c>
      <x:c r="L2" s="0" t="s">
        <x:v>24</x:v>
      </x:c>
      <x:c r="M2" s="0" t="s">
        <x:v>25</x:v>
      </x:c>
      <x:c r="N2" s="0" t="s">
        <x:v>26</x:v>
      </x:c>
      <x:c r="P2" s="0" t="s">
        <x:v>27</x:v>
      </x:c>
    </x:row>
    <x:row r="3" spans="1:20">
      <x:c r="A3" s="0">
        <x:v>2</x:v>
      </x:c>
      <x:c r="B3" s="0" t="s">
        <x:v>61</x:v>
      </x:c>
      <x:c r="C3" s="0" t="s">
        <x:v>21</x:v>
      </x:c>
      <x:c r="D3" s="0" t="s">
        <x:v>22</x:v>
      </x:c>
      <x:c r="E3" s="0">
        <x:v>1</x:v>
      </x:c>
      <x:c r="F3" s="0">
        <x:v>1</x:v>
      </x:c>
      <x:c r="G3" s="8">
        <x:v>250</x:v>
      </x:c>
      <x:c r="H3" s="8">
        <x:v>250</x:v>
      </x:c>
      <x:c r="I3" s="0" t="s">
        <x:v>23</x:v>
      </x:c>
      <x:c r="K3" s="8">
        <x:v>250</x:v>
      </x:c>
      <x:c r="L3" s="0" t="s">
        <x:v>24</x:v>
      </x:c>
      <x:c r="M3" s="0" t="s">
        <x:v>25</x:v>
      </x:c>
      <x:c r="N3" s="0" t="s">
        <x:v>26</x:v>
      </x:c>
      <x:c r="P3" s="0" t="s">
        <x:v>27</x:v>
      </x:c>
    </x:row>
    <x:row r="4" spans="1:20">
      <x:c r="A4" s="0">
        <x:v>3</x:v>
      </x:c>
      <x:c r="B4" s="0" t="s">
        <x:v>20</x:v>
      </x:c>
      <x:c r="C4" s="0" t="s">
        <x:v>21</x:v>
      </x:c>
      <x:c r="D4" s="0" t="s">
        <x:v>22</x:v>
      </x:c>
      <x:c r="E4" s="0">
        <x:v>1</x:v>
      </x:c>
      <x:c r="F4" s="0">
        <x:v>3</x:v>
      </x:c>
      <x:c r="G4" s="8">
        <x:v>150</x:v>
      </x:c>
      <x:c r="H4" s="8">
        <x:v>450</x:v>
      </x:c>
      <x:c r="I4" s="0" t="s">
        <x:v>23</x:v>
      </x:c>
      <x:c r="K4" s="8">
        <x:v>450</x:v>
      </x:c>
      <x:c r="L4" s="0" t="s">
        <x:v>24</x:v>
      </x:c>
      <x:c r="M4" s="0" t="s">
        <x:v>25</x:v>
      </x:c>
      <x:c r="N4" s="0" t="s">
        <x:v>26</x:v>
      </x:c>
      <x:c r="P4" s="0" t="s">
        <x:v>27</x:v>
      </x:c>
    </x:row>
    <x:row r="5" spans="1:20">
      <x:c r="A5" s="0">
        <x:v>4</x:v>
      </x:c>
      <x:c r="B5" s="0" t="s">
        <x:v>28</x:v>
      </x:c>
      <x:c r="C5" s="0" t="s">
        <x:v>21</x:v>
      </x:c>
      <x:c r="D5" s="0" t="s">
        <x:v>22</x:v>
      </x:c>
      <x:c r="E5" s="0">
        <x:v>1</x:v>
      </x:c>
      <x:c r="F5" s="0">
        <x:v>1</x:v>
      </x:c>
      <x:c r="G5" s="8">
        <x:v>250</x:v>
      </x:c>
      <x:c r="H5" s="8">
        <x:v>250</x:v>
      </x:c>
      <x:c r="I5" s="0" t="s">
        <x:v>23</x:v>
      </x:c>
      <x:c r="K5" s="8">
        <x:v>250</x:v>
      </x:c>
      <x:c r="L5" s="0" t="s">
        <x:v>24</x:v>
      </x:c>
      <x:c r="M5" s="0" t="s">
        <x:v>25</x:v>
      </x:c>
      <x:c r="N5" s="0" t="s">
        <x:v>26</x:v>
      </x:c>
      <x:c r="P5" s="0" t="s">
        <x:v>27</x:v>
      </x:c>
    </x:row>
    <x:row r="6" spans="1:20">
      <x:c r="A6" s="0">
        <x:v>5</x:v>
      </x:c>
      <x:c r="B6" s="0" t="s">
        <x:v>117</x:v>
      </x:c>
      <x:c r="C6" s="0" t="s">
        <x:v>21</x:v>
      </x:c>
      <x:c r="D6" s="0" t="s">
        <x:v>34</x:v>
      </x:c>
      <x:c r="E6" s="0">
        <x:v>1</x:v>
      </x:c>
      <x:c r="F6" s="0">
        <x:v>0.1</x:v>
      </x:c>
      <x:c r="G6" s="8">
        <x:v>6799.3</x:v>
      </x:c>
      <x:c r="H6" s="8">
        <x:v>679.93</x:v>
      </x:c>
      <x:c r="I6" s="0" t="s">
        <x:v>23</x:v>
      </x:c>
      <x:c r="K6" s="8">
        <x:v>679.93</x:v>
      </x:c>
      <x:c r="L6" s="0" t="s">
        <x:v>24</x:v>
      </x:c>
      <x:c r="M6" s="0" t="s">
        <x:v>25</x:v>
      </x:c>
      <x:c r="N6" s="0" t="s">
        <x:v>26</x:v>
      </x:c>
      <x:c r="P6" s="0" t="s">
        <x:v>27</x:v>
      </x:c>
    </x:row>
    <x:row r="7" spans="1:20">
      <x:c r="A7" s="0">
        <x:v>6</x:v>
      </x:c>
      <x:c r="B7" s="0" t="s">
        <x:v>74</x:v>
      </x:c>
      <x:c r="C7" s="0" t="s">
        <x:v>21</x:v>
      </x:c>
      <x:c r="D7" s="0" t="s">
        <x:v>22</x:v>
      </x:c>
      <x:c r="E7" s="0">
        <x:v>1</x:v>
      </x:c>
      <x:c r="F7" s="0">
        <x:v>2</x:v>
      </x:c>
      <x:c r="G7" s="8">
        <x:v>250</x:v>
      </x:c>
      <x:c r="H7" s="8">
        <x:v>500</x:v>
      </x:c>
      <x:c r="I7" s="0" t="s">
        <x:v>23</x:v>
      </x:c>
      <x:c r="K7" s="8">
        <x:v>500</x:v>
      </x:c>
      <x:c r="L7" s="0" t="s">
        <x:v>24</x:v>
      </x:c>
      <x:c r="M7" s="0" t="s">
        <x:v>25</x:v>
      </x:c>
      <x:c r="N7" s="0" t="s">
        <x:v>26</x:v>
      </x:c>
      <x:c r="P7" s="0" t="s">
        <x:v>27</x:v>
      </x:c>
    </x:row>
    <x:row r="8" spans="1:20">
      <x:c r="A8" s="0">
        <x:v>7</x:v>
      </x:c>
      <x:c r="B8" s="0" t="s">
        <x:v>147</x:v>
      </x:c>
      <x:c r="C8" s="0" t="s">
        <x:v>21</x:v>
      </x:c>
      <x:c r="D8" s="0" t="s">
        <x:v>34</x:v>
      </x:c>
      <x:c r="E8" s="0">
        <x:v>1</x:v>
      </x:c>
      <x:c r="F8" s="0">
        <x:v>0.1</x:v>
      </x:c>
      <x:c r="G8" s="8">
        <x:v>2400</x:v>
      </x:c>
      <x:c r="H8" s="8">
        <x:v>240</x:v>
      </x:c>
      <x:c r="I8" s="0" t="s">
        <x:v>23</x:v>
      </x:c>
      <x:c r="K8" s="8">
        <x:v>240</x:v>
      </x:c>
      <x:c r="L8" s="0" t="s">
        <x:v>24</x:v>
      </x:c>
      <x:c r="M8" s="0" t="s">
        <x:v>25</x:v>
      </x:c>
      <x:c r="N8" s="0" t="s">
        <x:v>26</x:v>
      </x:c>
      <x:c r="P8" s="0" t="s">
        <x:v>27</x:v>
      </x:c>
    </x:row>
    <x:row r="9" spans="1:20">
      <x:c r="A9" s="0">
        <x:v>8</x:v>
      </x:c>
      <x:c r="B9" s="0" t="s">
        <x:v>29</x:v>
      </x:c>
      <x:c r="C9" s="0" t="s">
        <x:v>21</x:v>
      </x:c>
      <x:c r="D9" s="0" t="s">
        <x:v>22</x:v>
      </x:c>
      <x:c r="E9" s="0">
        <x:v>1</x:v>
      </x:c>
      <x:c r="F9" s="0">
        <x:v>7</x:v>
      </x:c>
      <x:c r="G9" s="8">
        <x:v>228.5</x:v>
      </x:c>
      <x:c r="H9" s="8">
        <x:v>1599.5</x:v>
      </x:c>
      <x:c r="I9" s="0" t="s">
        <x:v>23</x:v>
      </x:c>
      <x:c r="K9" s="8">
        <x:v>1599.5</x:v>
      </x:c>
      <x:c r="L9" s="0" t="s">
        <x:v>24</x:v>
      </x:c>
      <x:c r="M9" s="0" t="s">
        <x:v>25</x:v>
      </x:c>
      <x:c r="N9" s="0" t="s">
        <x:v>26</x:v>
      </x:c>
      <x:c r="P9" s="0" t="s">
        <x:v>27</x:v>
      </x:c>
    </x:row>
    <x:row r="10" spans="1:20">
      <x:c r="A10" s="0">
        <x:v>9</x:v>
      </x:c>
      <x:c r="B10" s="0" t="s">
        <x:v>30</x:v>
      </x:c>
      <x:c r="C10" s="0" t="s">
        <x:v>21</x:v>
      </x:c>
      <x:c r="D10" s="0" t="s">
        <x:v>22</x:v>
      </x:c>
      <x:c r="E10" s="0">
        <x:v>1</x:v>
      </x:c>
      <x:c r="F10" s="0">
        <x:v>3</x:v>
      </x:c>
      <x:c r="G10" s="8">
        <x:v>330</x:v>
      </x:c>
      <x:c r="H10" s="8">
        <x:v>990</x:v>
      </x:c>
      <x:c r="I10" s="0" t="s">
        <x:v>23</x:v>
      </x:c>
      <x:c r="K10" s="8">
        <x:v>990</x:v>
      </x:c>
      <x:c r="L10" s="0" t="s">
        <x:v>24</x:v>
      </x:c>
      <x:c r="M10" s="0" t="s">
        <x:v>25</x:v>
      </x:c>
      <x:c r="N10" s="0" t="s">
        <x:v>26</x:v>
      </x:c>
      <x:c r="P10" s="0" t="s">
        <x:v>27</x:v>
      </x:c>
    </x:row>
    <x:row r="11" spans="1:20">
      <x:c r="A11" s="0">
        <x:v>10</x:v>
      </x:c>
      <x:c r="B11" s="0" t="s">
        <x:v>76</x:v>
      </x:c>
      <x:c r="C11" s="0" t="s">
        <x:v>21</x:v>
      </x:c>
      <x:c r="D11" s="0" t="s">
        <x:v>34</x:v>
      </x:c>
      <x:c r="E11" s="0">
        <x:v>1</x:v>
      </x:c>
      <x:c r="F11" s="0">
        <x:v>0.5</x:v>
      </x:c>
      <x:c r="G11" s="8">
        <x:v>3180</x:v>
      </x:c>
      <x:c r="H11" s="8">
        <x:v>1590</x:v>
      </x:c>
      <x:c r="I11" s="0" t="s">
        <x:v>23</x:v>
      </x:c>
      <x:c r="K11" s="8">
        <x:v>1590</x:v>
      </x:c>
      <x:c r="L11" s="0" t="s">
        <x:v>24</x:v>
      </x:c>
      <x:c r="M11" s="0" t="s">
        <x:v>25</x:v>
      </x:c>
      <x:c r="N11" s="0" t="s">
        <x:v>26</x:v>
      </x:c>
      <x:c r="P11" s="0" t="s">
        <x:v>27</x:v>
      </x:c>
    </x:row>
    <x:row r="12" spans="1:20">
      <x:c r="A12" s="0">
        <x:v>11</x:v>
      </x:c>
      <x:c r="B12" s="0" t="s">
        <x:v>62</x:v>
      </x:c>
      <x:c r="C12" s="0" t="s">
        <x:v>21</x:v>
      </x:c>
      <x:c r="D12" s="0" t="s">
        <x:v>34</x:v>
      </x:c>
      <x:c r="E12" s="0">
        <x:v>1</x:v>
      </x:c>
      <x:c r="F12" s="0">
        <x:v>0.3</x:v>
      </x:c>
      <x:c r="G12" s="8">
        <x:v>3180</x:v>
      </x:c>
      <x:c r="H12" s="8">
        <x:v>954</x:v>
      </x:c>
      <x:c r="I12" s="0" t="s">
        <x:v>23</x:v>
      </x:c>
      <x:c r="K12" s="8">
        <x:v>954</x:v>
      </x:c>
      <x:c r="L12" s="0" t="s">
        <x:v>24</x:v>
      </x:c>
      <x:c r="M12" s="0" t="s">
        <x:v>25</x:v>
      </x:c>
      <x:c r="N12" s="0" t="s">
        <x:v>26</x:v>
      </x:c>
      <x:c r="P12" s="0" t="s">
        <x:v>27</x:v>
      </x:c>
    </x:row>
    <x:row r="13" spans="1:20">
      <x:c r="A13" s="0">
        <x:v>12</x:v>
      </x:c>
      <x:c r="B13" s="0" t="s">
        <x:v>78</x:v>
      </x:c>
      <x:c r="C13" s="0" t="s">
        <x:v>21</x:v>
      </x:c>
      <x:c r="D13" s="0" t="s">
        <x:v>34</x:v>
      </x:c>
      <x:c r="E13" s="0">
        <x:v>1</x:v>
      </x:c>
      <x:c r="F13" s="0">
        <x:v>0.1</x:v>
      </x:c>
      <x:c r="G13" s="8">
        <x:v>3380</x:v>
      </x:c>
      <x:c r="H13" s="8">
        <x:v>338</x:v>
      </x:c>
      <x:c r="I13" s="0" t="s">
        <x:v>23</x:v>
      </x:c>
      <x:c r="K13" s="8">
        <x:v>338</x:v>
      </x:c>
      <x:c r="L13" s="0" t="s">
        <x:v>24</x:v>
      </x:c>
      <x:c r="M13" s="0" t="s">
        <x:v>25</x:v>
      </x:c>
      <x:c r="N13" s="0" t="s">
        <x:v>26</x:v>
      </x:c>
      <x:c r="P13" s="0" t="s">
        <x:v>27</x:v>
      </x:c>
    </x:row>
    <x:row r="14" spans="1:20">
      <x:c r="A14" s="0">
        <x:v>13</x:v>
      </x:c>
      <x:c r="B14" s="0" t="s">
        <x:v>79</x:v>
      </x:c>
      <x:c r="C14" s="0" t="s">
        <x:v>21</x:v>
      </x:c>
      <x:c r="D14" s="0" t="s">
        <x:v>34</x:v>
      </x:c>
      <x:c r="E14" s="0">
        <x:v>1</x:v>
      </x:c>
      <x:c r="F14" s="0">
        <x:v>0.2</x:v>
      </x:c>
      <x:c r="G14" s="8">
        <x:v>2180</x:v>
      </x:c>
      <x:c r="H14" s="8">
        <x:v>436</x:v>
      </x:c>
      <x:c r="I14" s="0" t="s">
        <x:v>23</x:v>
      </x:c>
      <x:c r="K14" s="8">
        <x:v>436</x:v>
      </x:c>
      <x:c r="L14" s="0" t="s">
        <x:v>24</x:v>
      </x:c>
      <x:c r="M14" s="0" t="s">
        <x:v>25</x:v>
      </x:c>
      <x:c r="N14" s="0" t="s">
        <x:v>26</x:v>
      </x:c>
      <x:c r="P14" s="0" t="s">
        <x:v>27</x:v>
      </x:c>
    </x:row>
    <x:row r="15" spans="1:20">
      <x:c r="A15" s="0">
        <x:v>14</x:v>
      </x:c>
      <x:c r="B15" s="0" t="s">
        <x:v>81</x:v>
      </x:c>
      <x:c r="C15" s="0" t="s">
        <x:v>21</x:v>
      </x:c>
      <x:c r="D15" s="0" t="s">
        <x:v>34</x:v>
      </x:c>
      <x:c r="E15" s="0">
        <x:v>1</x:v>
      </x:c>
      <x:c r="F15" s="0">
        <x:v>0.565</x:v>
      </x:c>
      <x:c r="G15" s="8">
        <x:v>3879.63</x:v>
      </x:c>
      <x:c r="H15" s="8">
        <x:v>2191.99</x:v>
      </x:c>
      <x:c r="I15" s="0" t="s">
        <x:v>23</x:v>
      </x:c>
      <x:c r="K15" s="8">
        <x:v>2191.99</x:v>
      </x:c>
      <x:c r="L15" s="0" t="s">
        <x:v>24</x:v>
      </x:c>
      <x:c r="M15" s="0" t="s">
        <x:v>25</x:v>
      </x:c>
      <x:c r="N15" s="0" t="s">
        <x:v>26</x:v>
      </x:c>
      <x:c r="P15" s="0" t="s">
        <x:v>27</x:v>
      </x:c>
    </x:row>
    <x:row r="16" spans="1:20">
      <x:c r="A16" s="0">
        <x:v>15</x:v>
      </x:c>
      <x:c r="B16" s="0" t="s">
        <x:v>101</x:v>
      </x:c>
      <x:c r="C16" s="0" t="s">
        <x:v>21</x:v>
      </x:c>
      <x:c r="D16" s="0" t="s">
        <x:v>34</x:v>
      </x:c>
      <x:c r="E16" s="0">
        <x:v>1</x:v>
      </x:c>
      <x:c r="F16" s="0">
        <x:v>0.686</x:v>
      </x:c>
      <x:c r="G16" s="8">
        <x:v>3479.77</x:v>
      </x:c>
      <x:c r="H16" s="8">
        <x:v>2387.12</x:v>
      </x:c>
      <x:c r="I16" s="0" t="s">
        <x:v>23</x:v>
      </x:c>
      <x:c r="K16" s="8">
        <x:v>2387.12</x:v>
      </x:c>
      <x:c r="L16" s="0" t="s">
        <x:v>24</x:v>
      </x:c>
      <x:c r="M16" s="0" t="s">
        <x:v>25</x:v>
      </x:c>
      <x:c r="N16" s="0" t="s">
        <x:v>26</x:v>
      </x:c>
      <x:c r="P16" s="0" t="s">
        <x:v>27</x:v>
      </x:c>
    </x:row>
    <x:row r="17" spans="1:20">
      <x:c r="A17" s="0">
        <x:v>16</x:v>
      </x:c>
      <x:c r="B17" s="0" t="s">
        <x:v>93</x:v>
      </x:c>
      <x:c r="C17" s="0" t="s">
        <x:v>21</x:v>
      </x:c>
      <x:c r="D17" s="0" t="s">
        <x:v>34</x:v>
      </x:c>
      <x:c r="E17" s="0">
        <x:v>1</x:v>
      </x:c>
      <x:c r="F17" s="0">
        <x:v>0.2</x:v>
      </x:c>
      <x:c r="G17" s="8">
        <x:v>3480</x:v>
      </x:c>
      <x:c r="H17" s="8">
        <x:v>696</x:v>
      </x:c>
      <x:c r="I17" s="0" t="s">
        <x:v>23</x:v>
      </x:c>
      <x:c r="K17" s="8">
        <x:v>696</x:v>
      </x:c>
      <x:c r="L17" s="0" t="s">
        <x:v>24</x:v>
      </x:c>
      <x:c r="M17" s="0" t="s">
        <x:v>25</x:v>
      </x:c>
      <x:c r="N17" s="0" t="s">
        <x:v>26</x:v>
      </x:c>
      <x:c r="P17" s="0" t="s">
        <x:v>27</x:v>
      </x:c>
    </x:row>
    <x:row r="18" spans="1:20">
      <x:c r="A18" s="0">
        <x:v>17</x:v>
      </x:c>
      <x:c r="B18" s="0" t="s">
        <x:v>67</x:v>
      </x:c>
      <x:c r="C18" s="0" t="s">
        <x:v>21</x:v>
      </x:c>
      <x:c r="D18" s="0" t="s">
        <x:v>34</x:v>
      </x:c>
      <x:c r="E18" s="0">
        <x:v>1</x:v>
      </x:c>
      <x:c r="F18" s="0">
        <x:v>0.1</x:v>
      </x:c>
      <x:c r="G18" s="8">
        <x:v>3180</x:v>
      </x:c>
      <x:c r="H18" s="8">
        <x:v>318</x:v>
      </x:c>
      <x:c r="I18" s="0" t="s">
        <x:v>23</x:v>
      </x:c>
      <x:c r="K18" s="8">
        <x:v>318</x:v>
      </x:c>
      <x:c r="L18" s="0" t="s">
        <x:v>24</x:v>
      </x:c>
      <x:c r="M18" s="0" t="s">
        <x:v>25</x:v>
      </x:c>
      <x:c r="N18" s="0" t="s">
        <x:v>26</x:v>
      </x:c>
      <x:c r="P18" s="0" t="s">
        <x:v>27</x:v>
      </x:c>
    </x:row>
    <x:row r="19" spans="1:20">
      <x:c r="A19" s="0">
        <x:v>18</x:v>
      </x:c>
      <x:c r="B19" s="0" t="s">
        <x:v>83</x:v>
      </x:c>
      <x:c r="C19" s="0" t="s">
        <x:v>21</x:v>
      </x:c>
      <x:c r="D19" s="0" t="s">
        <x:v>34</x:v>
      </x:c>
      <x:c r="E19" s="0">
        <x:v>1</x:v>
      </x:c>
      <x:c r="F19" s="0">
        <x:v>0.25</x:v>
      </x:c>
      <x:c r="G19" s="8">
        <x:v>2080</x:v>
      </x:c>
      <x:c r="H19" s="8">
        <x:v>520</x:v>
      </x:c>
      <x:c r="I19" s="0" t="s">
        <x:v>23</x:v>
      </x:c>
      <x:c r="K19" s="8">
        <x:v>520</x:v>
      </x:c>
      <x:c r="L19" s="0" t="s">
        <x:v>24</x:v>
      </x:c>
      <x:c r="M19" s="0" t="s">
        <x:v>25</x:v>
      </x:c>
      <x:c r="N19" s="0" t="s">
        <x:v>26</x:v>
      </x:c>
      <x:c r="P19" s="0" t="s">
        <x:v>27</x:v>
      </x:c>
    </x:row>
    <x:row r="20" spans="1:20">
      <x:c r="A20" s="0">
        <x:v>19</x:v>
      </x:c>
      <x:c r="B20" s="0" t="s">
        <x:v>33</x:v>
      </x:c>
      <x:c r="C20" s="0" t="s">
        <x:v>21</x:v>
      </x:c>
      <x:c r="D20" s="0" t="s">
        <x:v>34</x:v>
      </x:c>
      <x:c r="E20" s="0">
        <x:v>1</x:v>
      </x:c>
      <x:c r="F20" s="0">
        <x:v>0.3</x:v>
      </x:c>
      <x:c r="G20" s="8">
        <x:v>3579.87</x:v>
      </x:c>
      <x:c r="H20" s="8">
        <x:v>1073.96</x:v>
      </x:c>
      <x:c r="I20" s="0" t="s">
        <x:v>23</x:v>
      </x:c>
      <x:c r="K20" s="8">
        <x:v>1073.96</x:v>
      </x:c>
      <x:c r="L20" s="0" t="s">
        <x:v>24</x:v>
      </x:c>
      <x:c r="M20" s="0" t="s">
        <x:v>25</x:v>
      </x:c>
      <x:c r="N20" s="0" t="s">
        <x:v>26</x:v>
      </x:c>
      <x:c r="P20" s="0" t="s">
        <x:v>27</x:v>
      </x:c>
    </x:row>
    <x:row r="21" spans="1:20">
      <x:c r="A21" s="0">
        <x:v>20</x:v>
      </x:c>
      <x:c r="B21" s="0" t="s">
        <x:v>119</x:v>
      </x:c>
      <x:c r="C21" s="0" t="s">
        <x:v>21</x:v>
      </x:c>
      <x:c r="D21" s="0" t="s">
        <x:v>34</x:v>
      </x:c>
      <x:c r="E21" s="0">
        <x:v>1</x:v>
      </x:c>
      <x:c r="F21" s="0">
        <x:v>0.15</x:v>
      </x:c>
      <x:c r="G21" s="8">
        <x:v>1980</x:v>
      </x:c>
      <x:c r="H21" s="8">
        <x:v>297</x:v>
      </x:c>
      <x:c r="I21" s="0" t="s">
        <x:v>23</x:v>
      </x:c>
      <x:c r="K21" s="8">
        <x:v>297</x:v>
      </x:c>
      <x:c r="L21" s="0" t="s">
        <x:v>24</x:v>
      </x:c>
      <x:c r="M21" s="0" t="s">
        <x:v>25</x:v>
      </x:c>
      <x:c r="N21" s="0" t="s">
        <x:v>26</x:v>
      </x:c>
      <x:c r="P21" s="0" t="s">
        <x:v>27</x:v>
      </x:c>
    </x:row>
    <x:row r="22" spans="1:20">
      <x:c r="A22" s="0">
        <x:v>21</x:v>
      </x:c>
      <x:c r="B22" s="0" t="s">
        <x:v>148</x:v>
      </x:c>
      <x:c r="C22" s="0" t="s">
        <x:v>21</x:v>
      </x:c>
      <x:c r="D22" s="0" t="s">
        <x:v>34</x:v>
      </x:c>
      <x:c r="E22" s="0">
        <x:v>1</x:v>
      </x:c>
      <x:c r="F22" s="0">
        <x:v>0.3</x:v>
      </x:c>
      <x:c r="G22" s="8">
        <x:v>3480</x:v>
      </x:c>
      <x:c r="H22" s="8">
        <x:v>1044</x:v>
      </x:c>
      <x:c r="I22" s="0" t="s">
        <x:v>23</x:v>
      </x:c>
      <x:c r="K22" s="8">
        <x:v>1044</x:v>
      </x:c>
      <x:c r="L22" s="0" t="s">
        <x:v>24</x:v>
      </x:c>
      <x:c r="M22" s="0" t="s">
        <x:v>25</x:v>
      </x:c>
      <x:c r="N22" s="0" t="s">
        <x:v>26</x:v>
      </x:c>
      <x:c r="P22" s="0" t="s">
        <x:v>27</x:v>
      </x:c>
    </x:row>
    <x:row r="23" spans="1:20">
      <x:c r="A23" s="0">
        <x:v>22</x:v>
      </x:c>
      <x:c r="B23" s="0" t="s">
        <x:v>120</x:v>
      </x:c>
      <x:c r="C23" s="0" t="s">
        <x:v>21</x:v>
      </x:c>
      <x:c r="D23" s="0" t="s">
        <x:v>34</x:v>
      </x:c>
      <x:c r="E23" s="0">
        <x:v>1</x:v>
      </x:c>
      <x:c r="F23" s="0">
        <x:v>0.15</x:v>
      </x:c>
      <x:c r="G23" s="8">
        <x:v>4980</x:v>
      </x:c>
      <x:c r="H23" s="8">
        <x:v>747</x:v>
      </x:c>
      <x:c r="I23" s="0" t="s">
        <x:v>23</x:v>
      </x:c>
      <x:c r="K23" s="8">
        <x:v>747</x:v>
      </x:c>
      <x:c r="L23" s="0" t="s">
        <x:v>24</x:v>
      </x:c>
      <x:c r="M23" s="0" t="s">
        <x:v>25</x:v>
      </x:c>
      <x:c r="N23" s="0" t="s">
        <x:v>26</x:v>
      </x:c>
      <x:c r="P23" s="0" t="s">
        <x:v>27</x:v>
      </x:c>
    </x:row>
    <x:row r="24" spans="1:20">
      <x:c r="A24" s="0">
        <x:v>23</x:v>
      </x:c>
      <x:c r="B24" s="0" t="s">
        <x:v>35</x:v>
      </x:c>
      <x:c r="C24" s="0" t="s">
        <x:v>21</x:v>
      </x:c>
      <x:c r="D24" s="0" t="s">
        <x:v>34</x:v>
      </x:c>
      <x:c r="E24" s="0">
        <x:v>1</x:v>
      </x:c>
      <x:c r="F24" s="0">
        <x:v>0.2</x:v>
      </x:c>
      <x:c r="G24" s="8">
        <x:v>3380</x:v>
      </x:c>
      <x:c r="H24" s="8">
        <x:v>676</x:v>
      </x:c>
      <x:c r="I24" s="0" t="s">
        <x:v>23</x:v>
      </x:c>
      <x:c r="K24" s="8">
        <x:v>676</x:v>
      </x:c>
      <x:c r="L24" s="0" t="s">
        <x:v>24</x:v>
      </x:c>
      <x:c r="M24" s="0" t="s">
        <x:v>25</x:v>
      </x:c>
      <x:c r="N24" s="0" t="s">
        <x:v>26</x:v>
      </x:c>
      <x:c r="P24" s="0" t="s">
        <x:v>27</x:v>
      </x:c>
    </x:row>
    <x:row r="25" spans="1:20">
      <x:c r="A25" s="0">
        <x:v>24</x:v>
      </x:c>
      <x:c r="B25" s="0" t="s">
        <x:v>36</x:v>
      </x:c>
      <x:c r="C25" s="0" t="s">
        <x:v>21</x:v>
      </x:c>
      <x:c r="D25" s="0" t="s">
        <x:v>22</x:v>
      </x:c>
      <x:c r="E25" s="0">
        <x:v>1</x:v>
      </x:c>
      <x:c r="F25" s="0">
        <x:v>1</x:v>
      </x:c>
      <x:c r="G25" s="8">
        <x:v>282</x:v>
      </x:c>
      <x:c r="H25" s="8">
        <x:v>282</x:v>
      </x:c>
      <x:c r="I25" s="0" t="s">
        <x:v>23</x:v>
      </x:c>
      <x:c r="K25" s="8">
        <x:v>282</x:v>
      </x:c>
      <x:c r="L25" s="0" t="s">
        <x:v>24</x:v>
      </x:c>
      <x:c r="M25" s="0" t="s">
        <x:v>25</x:v>
      </x:c>
      <x:c r="N25" s="0" t="s">
        <x:v>26</x:v>
      </x:c>
      <x:c r="P25" s="0" t="s">
        <x:v>27</x:v>
      </x:c>
    </x:row>
    <x:row r="26" spans="1:20">
      <x:c r="A26" s="0">
        <x:v>25</x:v>
      </x:c>
      <x:c r="B26" s="0" t="s">
        <x:v>70</x:v>
      </x:c>
      <x:c r="C26" s="0" t="s">
        <x:v>21</x:v>
      </x:c>
      <x:c r="D26" s="0" t="s">
        <x:v>22</x:v>
      </x:c>
      <x:c r="E26" s="0">
        <x:v>1</x:v>
      </x:c>
      <x:c r="F26" s="0">
        <x:v>3</x:v>
      </x:c>
      <x:c r="G26" s="8">
        <x:v>229</x:v>
      </x:c>
      <x:c r="H26" s="8">
        <x:v>687</x:v>
      </x:c>
      <x:c r="I26" s="0" t="s">
        <x:v>23</x:v>
      </x:c>
      <x:c r="K26" s="8">
        <x:v>687</x:v>
      </x:c>
      <x:c r="L26" s="0" t="s">
        <x:v>24</x:v>
      </x:c>
      <x:c r="M26" s="0" t="s">
        <x:v>25</x:v>
      </x:c>
      <x:c r="N26" s="0" t="s">
        <x:v>26</x:v>
      </x:c>
      <x:c r="P26" s="0" t="s">
        <x:v>27</x:v>
      </x:c>
    </x:row>
    <x:row r="27" spans="1:20">
      <x:c r="A27" s="0">
        <x:v>26</x:v>
      </x:c>
      <x:c r="B27" s="0" t="s">
        <x:v>37</x:v>
      </x:c>
      <x:c r="C27" s="0" t="s">
        <x:v>21</x:v>
      </x:c>
      <x:c r="D27" s="0" t="s">
        <x:v>22</x:v>
      </x:c>
      <x:c r="E27" s="0">
        <x:v>1</x:v>
      </x:c>
      <x:c r="F27" s="0">
        <x:v>1</x:v>
      </x:c>
      <x:c r="G27" s="8">
        <x:v>350</x:v>
      </x:c>
      <x:c r="H27" s="8">
        <x:v>350</x:v>
      </x:c>
      <x:c r="I27" s="0" t="s">
        <x:v>23</x:v>
      </x:c>
      <x:c r="K27" s="8">
        <x:v>350</x:v>
      </x:c>
      <x:c r="L27" s="0" t="s">
        <x:v>24</x:v>
      </x:c>
      <x:c r="M27" s="0" t="s">
        <x:v>25</x:v>
      </x:c>
      <x:c r="N27" s="0" t="s">
        <x:v>26</x:v>
      </x:c>
      <x:c r="P27" s="0" t="s">
        <x:v>27</x:v>
      </x:c>
    </x:row>
    <x:row r="28" spans="1:20">
      <x:c r="A28" s="0">
        <x:v>27</x:v>
      </x:c>
      <x:c r="B28" s="0" t="s">
        <x:v>126</x:v>
      </x:c>
      <x:c r="C28" s="0" t="s">
        <x:v>21</x:v>
      </x:c>
      <x:c r="D28" s="0" t="s">
        <x:v>22</x:v>
      </x:c>
      <x:c r="E28" s="0">
        <x:v>1</x:v>
      </x:c>
      <x:c r="F28" s="0">
        <x:v>1</x:v>
      </x:c>
      <x:c r="G28" s="8">
        <x:v>162</x:v>
      </x:c>
      <x:c r="H28" s="8">
        <x:v>162</x:v>
      </x:c>
      <x:c r="I28" s="0" t="s">
        <x:v>23</x:v>
      </x:c>
      <x:c r="K28" s="8">
        <x:v>162</x:v>
      </x:c>
      <x:c r="L28" s="0" t="s">
        <x:v>24</x:v>
      </x:c>
      <x:c r="M28" s="0" t="s">
        <x:v>25</x:v>
      </x:c>
      <x:c r="N28" s="0" t="s">
        <x:v>26</x:v>
      </x:c>
      <x:c r="P28" s="0" t="s">
        <x:v>27</x:v>
      </x:c>
    </x:row>
    <x:row r="29" spans="1:20">
      <x:c r="A29" s="0">
        <x:v>28</x:v>
      </x:c>
      <x:c r="B29" s="0" t="s">
        <x:v>39</x:v>
      </x:c>
      <x:c r="C29" s="0" t="s">
        <x:v>21</x:v>
      </x:c>
      <x:c r="D29" s="0" t="s">
        <x:v>22</x:v>
      </x:c>
      <x:c r="E29" s="0">
        <x:v>1</x:v>
      </x:c>
      <x:c r="F29" s="0">
        <x:v>5</x:v>
      </x:c>
      <x:c r="G29" s="8">
        <x:v>242.5</x:v>
      </x:c>
      <x:c r="H29" s="8">
        <x:v>1212.5</x:v>
      </x:c>
      <x:c r="I29" s="0" t="s">
        <x:v>23</x:v>
      </x:c>
      <x:c r="K29" s="8">
        <x:v>1212.5</x:v>
      </x:c>
      <x:c r="L29" s="0" t="s">
        <x:v>24</x:v>
      </x:c>
      <x:c r="M29" s="0" t="s">
        <x:v>25</x:v>
      </x:c>
      <x:c r="N29" s="0" t="s">
        <x:v>26</x:v>
      </x:c>
      <x:c r="P29" s="0" t="s">
        <x:v>27</x:v>
      </x:c>
    </x:row>
    <x:row r="30" spans="1:20">
      <x:c r="A30" s="0">
        <x:v>29</x:v>
      </x:c>
      <x:c r="B30" s="0" t="s">
        <x:v>40</x:v>
      </x:c>
      <x:c r="C30" s="0" t="s">
        <x:v>21</x:v>
      </x:c>
      <x:c r="D30" s="0" t="s">
        <x:v>22</x:v>
      </x:c>
      <x:c r="E30" s="0">
        <x:v>1</x:v>
      </x:c>
      <x:c r="F30" s="0">
        <x:v>1</x:v>
      </x:c>
      <x:c r="G30" s="8">
        <x:v>400</x:v>
      </x:c>
      <x:c r="H30" s="8">
        <x:v>400</x:v>
      </x:c>
      <x:c r="I30" s="0" t="s">
        <x:v>23</x:v>
      </x:c>
      <x:c r="K30" s="8">
        <x:v>400</x:v>
      </x:c>
      <x:c r="L30" s="0" t="s">
        <x:v>24</x:v>
      </x:c>
      <x:c r="M30" s="0" t="s">
        <x:v>25</x:v>
      </x:c>
      <x:c r="N30" s="0" t="s">
        <x:v>26</x:v>
      </x:c>
      <x:c r="P30" s="0" t="s">
        <x:v>27</x:v>
      </x:c>
    </x:row>
    <x:row r="31" spans="1:20">
      <x:c r="A31" s="0">
        <x:v>30</x:v>
      </x:c>
      <x:c r="B31" s="0" t="s">
        <x:v>41</x:v>
      </x:c>
      <x:c r="C31" s="0" t="s">
        <x:v>21</x:v>
      </x:c>
      <x:c r="D31" s="0" t="s">
        <x:v>22</x:v>
      </x:c>
      <x:c r="E31" s="0">
        <x:v>1</x:v>
      </x:c>
      <x:c r="F31" s="0">
        <x:v>1</x:v>
      </x:c>
      <x:c r="G31" s="8">
        <x:v>300</x:v>
      </x:c>
      <x:c r="H31" s="8">
        <x:v>300</x:v>
      </x:c>
      <x:c r="I31" s="0" t="s">
        <x:v>23</x:v>
      </x:c>
      <x:c r="K31" s="8">
        <x:v>300</x:v>
      </x:c>
      <x:c r="L31" s="0" t="s">
        <x:v>24</x:v>
      </x:c>
      <x:c r="M31" s="0" t="s">
        <x:v>25</x:v>
      </x:c>
      <x:c r="N31" s="0" t="s">
        <x:v>26</x:v>
      </x:c>
      <x:c r="P31" s="0" t="s">
        <x:v>27</x:v>
      </x:c>
    </x:row>
    <x:row r="32" spans="1:20">
      <x:c r="A32" s="0">
        <x:v>31</x:v>
      </x:c>
      <x:c r="B32" s="0" t="s">
        <x:v>43</x:v>
      </x:c>
      <x:c r="C32" s="0" t="s">
        <x:v>21</x:v>
      </x:c>
      <x:c r="D32" s="0" t="s">
        <x:v>22</x:v>
      </x:c>
      <x:c r="E32" s="0">
        <x:v>1</x:v>
      </x:c>
      <x:c r="F32" s="0">
        <x:v>1</x:v>
      </x:c>
      <x:c r="G32" s="8">
        <x:v>220</x:v>
      </x:c>
      <x:c r="H32" s="8">
        <x:v>220</x:v>
      </x:c>
      <x:c r="I32" s="0" t="s">
        <x:v>23</x:v>
      </x:c>
      <x:c r="K32" s="8">
        <x:v>220</x:v>
      </x:c>
      <x:c r="L32" s="0" t="s">
        <x:v>24</x:v>
      </x:c>
      <x:c r="M32" s="0" t="s">
        <x:v>25</x:v>
      </x:c>
      <x:c r="N32" s="0" t="s">
        <x:v>26</x:v>
      </x:c>
      <x:c r="P32" s="0" t="s">
        <x:v>27</x:v>
      </x:c>
    </x:row>
    <x:row r="33" spans="1:20">
      <x:c r="A33" s="0">
        <x:v>32</x:v>
      </x:c>
      <x:c r="B33" s="0" t="s">
        <x:v>44</x:v>
      </x:c>
      <x:c r="C33" s="0" t="s">
        <x:v>21</x:v>
      </x:c>
      <x:c r="D33" s="0" t="s">
        <x:v>22</x:v>
      </x:c>
      <x:c r="E33" s="0">
        <x:v>1</x:v>
      </x:c>
      <x:c r="F33" s="0">
        <x:v>7</x:v>
      </x:c>
      <x:c r="G33" s="8">
        <x:v>85</x:v>
      </x:c>
      <x:c r="H33" s="8">
        <x:v>595</x:v>
      </x:c>
      <x:c r="I33" s="0" t="s">
        <x:v>23</x:v>
      </x:c>
      <x:c r="K33" s="8">
        <x:v>595</x:v>
      </x:c>
      <x:c r="L33" s="0" t="s">
        <x:v>24</x:v>
      </x:c>
      <x:c r="M33" s="0" t="s">
        <x:v>25</x:v>
      </x:c>
      <x:c r="N33" s="0" t="s">
        <x:v>26</x:v>
      </x:c>
      <x:c r="P33" s="0" t="s">
        <x:v>27</x:v>
      </x:c>
    </x:row>
    <x:row r="34" spans="1:20">
      <x:c r="A34" s="0">
        <x:v>33</x:v>
      </x:c>
      <x:c r="B34" s="0" t="s">
        <x:v>45</x:v>
      </x:c>
      <x:c r="C34" s="0" t="s">
        <x:v>21</x:v>
      </x:c>
      <x:c r="D34" s="0" t="s">
        <x:v>22</x:v>
      </x:c>
      <x:c r="E34" s="0">
        <x:v>1</x:v>
      </x:c>
      <x:c r="F34" s="0">
        <x:v>3</x:v>
      </x:c>
      <x:c r="G34" s="8">
        <x:v>110</x:v>
      </x:c>
      <x:c r="H34" s="8">
        <x:v>330</x:v>
      </x:c>
      <x:c r="I34" s="0" t="s">
        <x:v>23</x:v>
      </x:c>
      <x:c r="K34" s="8">
        <x:v>330</x:v>
      </x:c>
      <x:c r="L34" s="0" t="s">
        <x:v>24</x:v>
      </x:c>
      <x:c r="M34" s="0" t="s">
        <x:v>25</x:v>
      </x:c>
      <x:c r="N34" s="0" t="s">
        <x:v>26</x:v>
      </x:c>
      <x:c r="P34" s="0" t="s">
        <x:v>27</x:v>
      </x:c>
    </x:row>
    <x:row r="35" spans="1:20">
      <x:c r="A35" s="0">
        <x:v>34</x:v>
      </x:c>
      <x:c r="B35" s="0" t="s">
        <x:v>47</x:v>
      </x:c>
      <x:c r="C35" s="0" t="s">
        <x:v>21</x:v>
      </x:c>
      <x:c r="D35" s="0" t="s">
        <x:v>22</x:v>
      </x:c>
      <x:c r="E35" s="0">
        <x:v>1</x:v>
      </x:c>
      <x:c r="F35" s="0">
        <x:v>4</x:v>
      </x:c>
      <x:c r="G35" s="8">
        <x:v>259.88</x:v>
      </x:c>
      <x:c r="H35" s="8">
        <x:v>1039.5</x:v>
      </x:c>
      <x:c r="I35" s="0" t="s">
        <x:v>23</x:v>
      </x:c>
      <x:c r="K35" s="8">
        <x:v>1039.5</x:v>
      </x:c>
      <x:c r="L35" s="0" t="s">
        <x:v>24</x:v>
      </x:c>
      <x:c r="M35" s="0" t="s">
        <x:v>25</x:v>
      </x:c>
      <x:c r="N35" s="0" t="s">
        <x:v>26</x:v>
      </x:c>
      <x:c r="P35" s="0" t="s">
        <x:v>27</x:v>
      </x:c>
    </x:row>
    <x:row r="36" spans="1:20">
      <x:c r="A36" s="0">
        <x:v>35</x:v>
      </x:c>
      <x:c r="B36" s="0" t="s">
        <x:v>71</x:v>
      </x:c>
      <x:c r="C36" s="0" t="s">
        <x:v>21</x:v>
      </x:c>
      <x:c r="D36" s="0" t="s">
        <x:v>22</x:v>
      </x:c>
      <x:c r="E36" s="0">
        <x:v>1</x:v>
      </x:c>
      <x:c r="F36" s="0">
        <x:v>2</x:v>
      </x:c>
      <x:c r="G36" s="8">
        <x:v>150</x:v>
      </x:c>
      <x:c r="H36" s="8">
        <x:v>300</x:v>
      </x:c>
      <x:c r="I36" s="0" t="s">
        <x:v>23</x:v>
      </x:c>
      <x:c r="K36" s="8">
        <x:v>300</x:v>
      </x:c>
      <x:c r="L36" s="0" t="s">
        <x:v>24</x:v>
      </x:c>
      <x:c r="M36" s="0" t="s">
        <x:v>25</x:v>
      </x:c>
      <x:c r="N36" s="0" t="s">
        <x:v>26</x:v>
      </x:c>
      <x:c r="P36" s="0" t="s">
        <x:v>27</x:v>
      </x:c>
    </x:row>
    <x:row r="37" spans="1:20">
      <x:c r="A37" s="0">
        <x:v>36</x:v>
      </x:c>
      <x:c r="B37" s="0" t="s">
        <x:v>72</x:v>
      </x:c>
      <x:c r="C37" s="0" t="s">
        <x:v>21</x:v>
      </x:c>
      <x:c r="D37" s="0" t="s">
        <x:v>22</x:v>
      </x:c>
      <x:c r="E37" s="0">
        <x:v>1</x:v>
      </x:c>
      <x:c r="F37" s="0">
        <x:v>1</x:v>
      </x:c>
      <x:c r="G37" s="8">
        <x:v>40</x:v>
      </x:c>
      <x:c r="H37" s="8">
        <x:v>40</x:v>
      </x:c>
      <x:c r="I37" s="0" t="s">
        <x:v>23</x:v>
      </x:c>
      <x:c r="K37" s="8">
        <x:v>40</x:v>
      </x:c>
      <x:c r="L37" s="0" t="s">
        <x:v>24</x:v>
      </x:c>
      <x:c r="M37" s="0" t="s">
        <x:v>25</x:v>
      </x:c>
      <x:c r="N37" s="0" t="s">
        <x:v>26</x:v>
      </x:c>
      <x:c r="P37" s="0" t="s">
        <x:v>27</x:v>
      </x:c>
    </x:row>
    <x:row r="38" spans="1:20">
      <x:c r="A38" s="0">
        <x:v>37</x:v>
      </x:c>
      <x:c r="B38" s="0" t="s">
        <x:v>144</x:v>
      </x:c>
      <x:c r="C38" s="0" t="s">
        <x:v>21</x:v>
      </x:c>
      <x:c r="D38" s="0" t="s">
        <x:v>22</x:v>
      </x:c>
      <x:c r="E38" s="0">
        <x:v>1</x:v>
      </x:c>
      <x:c r="F38" s="0">
        <x:v>4</x:v>
      </x:c>
      <x:c r="G38" s="8">
        <x:v>15</x:v>
      </x:c>
      <x:c r="H38" s="8">
        <x:v>60</x:v>
      </x:c>
      <x:c r="I38" s="0" t="s">
        <x:v>23</x:v>
      </x:c>
      <x:c r="K38" s="8">
        <x:v>60</x:v>
      </x:c>
      <x:c r="L38" s="0" t="s">
        <x:v>24</x:v>
      </x:c>
      <x:c r="M38" s="0" t="s">
        <x:v>25</x:v>
      </x:c>
      <x:c r="N38" s="0" t="s">
        <x:v>26</x:v>
      </x:c>
      <x:c r="P38" s="0" t="s">
        <x:v>27</x:v>
      </x:c>
    </x:row>
    <x:row r="39" spans="1:20">
      <x:c r="A39" s="0">
        <x:v>38</x:v>
      </x:c>
      <x:c r="B39" s="0" t="s">
        <x:v>50</x:v>
      </x:c>
      <x:c r="C39" s="0" t="s">
        <x:v>21</x:v>
      </x:c>
      <x:c r="D39" s="0" t="s">
        <x:v>22</x:v>
      </x:c>
      <x:c r="E39" s="0">
        <x:v>1</x:v>
      </x:c>
      <x:c r="F39" s="0">
        <x:v>3</x:v>
      </x:c>
      <x:c r="G39" s="8">
        <x:v>180</x:v>
      </x:c>
      <x:c r="H39" s="8">
        <x:v>540</x:v>
      </x:c>
      <x:c r="I39" s="0" t="s">
        <x:v>23</x:v>
      </x:c>
      <x:c r="K39" s="8">
        <x:v>540</x:v>
      </x:c>
      <x:c r="L39" s="0" t="s">
        <x:v>24</x:v>
      </x:c>
      <x:c r="M39" s="0" t="s">
        <x:v>25</x:v>
      </x:c>
      <x:c r="N39" s="0" t="s">
        <x:v>26</x:v>
      </x:c>
      <x:c r="P39" s="0" t="s">
        <x:v>27</x:v>
      </x:c>
    </x:row>
    <x:row r="40" spans="1:20">
      <x:c r="A40" s="0">
        <x:v>39</x:v>
      </x:c>
      <x:c r="B40" s="0" t="s">
        <x:v>51</x:v>
      </x:c>
      <x:c r="C40" s="0" t="s">
        <x:v>21</x:v>
      </x:c>
      <x:c r="D40" s="0" t="s">
        <x:v>22</x:v>
      </x:c>
      <x:c r="E40" s="0">
        <x:v>1</x:v>
      </x:c>
      <x:c r="F40" s="0">
        <x:v>5</x:v>
      </x:c>
      <x:c r="G40" s="8">
        <x:v>60</x:v>
      </x:c>
      <x:c r="H40" s="8">
        <x:v>300</x:v>
      </x:c>
      <x:c r="I40" s="0" t="s">
        <x:v>23</x:v>
      </x:c>
      <x:c r="K40" s="8">
        <x:v>300</x:v>
      </x:c>
      <x:c r="L40" s="0" t="s">
        <x:v>24</x:v>
      </x:c>
      <x:c r="M40" s="0" t="s">
        <x:v>25</x:v>
      </x:c>
      <x:c r="N40" s="0" t="s">
        <x:v>26</x:v>
      </x:c>
      <x:c r="P40" s="0" t="s">
        <x:v>27</x:v>
      </x:c>
    </x:row>
    <x:row r="41" spans="1:20">
      <x:c r="A41" s="0">
        <x:v>40</x:v>
      </x:c>
      <x:c r="B41" s="0" t="s">
        <x:v>53</x:v>
      </x:c>
      <x:c r="C41" s="0" t="s">
        <x:v>21</x:v>
      </x:c>
      <x:c r="D41" s="0" t="s">
        <x:v>22</x:v>
      </x:c>
      <x:c r="E41" s="0">
        <x:v>1</x:v>
      </x:c>
      <x:c r="F41" s="0">
        <x:v>1</x:v>
      </x:c>
      <x:c r="G41" s="8">
        <x:v>40</x:v>
      </x:c>
      <x:c r="H41" s="8">
        <x:v>40</x:v>
      </x:c>
      <x:c r="I41" s="0" t="s">
        <x:v>23</x:v>
      </x:c>
      <x:c r="K41" s="8">
        <x:v>40</x:v>
      </x:c>
      <x:c r="L41" s="0" t="s">
        <x:v>24</x:v>
      </x:c>
      <x:c r="M41" s="0" t="s">
        <x:v>25</x:v>
      </x:c>
      <x:c r="N41" s="0" t="s">
        <x:v>26</x:v>
      </x:c>
      <x:c r="P41" s="0" t="s">
        <x:v>27</x:v>
      </x:c>
    </x:row>
    <x:row r="42" spans="1:20">
      <x:c r="A42" s="0">
        <x:v>41</x:v>
      </x:c>
      <x:c r="B42" s="0" t="s">
        <x:v>54</x:v>
      </x:c>
      <x:c r="C42" s="0" t="s">
        <x:v>21</x:v>
      </x:c>
      <x:c r="D42" s="0" t="s">
        <x:v>22</x:v>
      </x:c>
      <x:c r="E42" s="0">
        <x:v>1</x:v>
      </x:c>
      <x:c r="F42" s="0">
        <x:v>2</x:v>
      </x:c>
      <x:c r="G42" s="8">
        <x:v>230</x:v>
      </x:c>
      <x:c r="H42" s="8">
        <x:v>460</x:v>
      </x:c>
      <x:c r="I42" s="0" t="s">
        <x:v>23</x:v>
      </x:c>
      <x:c r="K42" s="8">
        <x:v>460</x:v>
      </x:c>
      <x:c r="L42" s="0" t="s">
        <x:v>24</x:v>
      </x:c>
      <x:c r="M42" s="0" t="s">
        <x:v>25</x:v>
      </x:c>
      <x:c r="N42" s="0" t="s">
        <x:v>26</x:v>
      </x:c>
      <x:c r="P42" s="0" t="s">
        <x:v>27</x:v>
      </x:c>
    </x:row>
    <x:row r="43" spans="1:20">
      <x:c r="A43" s="0">
        <x:v>42</x:v>
      </x:c>
      <x:c r="B43" s="0" t="s">
        <x:v>55</x:v>
      </x:c>
      <x:c r="C43" s="0" t="s">
        <x:v>21</x:v>
      </x:c>
      <x:c r="D43" s="0" t="s">
        <x:v>22</x:v>
      </x:c>
      <x:c r="E43" s="0">
        <x:v>1</x:v>
      </x:c>
      <x:c r="F43" s="0">
        <x:v>5</x:v>
      </x:c>
      <x:c r="G43" s="8">
        <x:v>336</x:v>
      </x:c>
      <x:c r="H43" s="8">
        <x:v>1680</x:v>
      </x:c>
      <x:c r="I43" s="0" t="s">
        <x:v>23</x:v>
      </x:c>
      <x:c r="K43" s="8">
        <x:v>1680</x:v>
      </x:c>
      <x:c r="L43" s="0" t="s">
        <x:v>24</x:v>
      </x:c>
      <x:c r="M43" s="0" t="s">
        <x:v>25</x:v>
      </x:c>
      <x:c r="N43" s="0" t="s">
        <x:v>26</x:v>
      </x:c>
      <x:c r="P43" s="0" t="s">
        <x:v>27</x:v>
      </x:c>
    </x:row>
    <x:row r="44" spans="1:20">
      <x:c r="A44" s="0">
        <x:v>43</x:v>
      </x:c>
      <x:c r="B44" s="0" t="s">
        <x:v>115</x:v>
      </x:c>
      <x:c r="C44" s="0" t="s">
        <x:v>21</x:v>
      </x:c>
      <x:c r="D44" s="0" t="s">
        <x:v>34</x:v>
      </x:c>
      <x:c r="E44" s="0">
        <x:v>1</x:v>
      </x:c>
      <x:c r="F44" s="0">
        <x:v>0.1</x:v>
      </x:c>
      <x:c r="G44" s="8">
        <x:v>2800</x:v>
      </x:c>
      <x:c r="H44" s="8">
        <x:v>280</x:v>
      </x:c>
      <x:c r="I44" s="0" t="s">
        <x:v>23</x:v>
      </x:c>
      <x:c r="K44" s="8">
        <x:v>280</x:v>
      </x:c>
      <x:c r="L44" s="0" t="s">
        <x:v>24</x:v>
      </x:c>
      <x:c r="M44" s="0" t="s">
        <x:v>25</x:v>
      </x:c>
      <x:c r="N44" s="0" t="s">
        <x:v>26</x:v>
      </x:c>
      <x:c r="P44" s="0" t="s">
        <x:v>27</x:v>
      </x:c>
    </x:row>
    <x:row r="45" spans="1:20">
      <x:c r="A45" s="0">
        <x:v>44</x:v>
      </x:c>
      <x:c r="B45" s="0" t="s">
        <x:v>56</x:v>
      </x:c>
      <x:c r="C45" s="0" t="s">
        <x:v>21</x:v>
      </x:c>
      <x:c r="D45" s="0" t="s">
        <x:v>22</x:v>
      </x:c>
      <x:c r="E45" s="0">
        <x:v>1</x:v>
      </x:c>
      <x:c r="F45" s="0">
        <x:v>2</x:v>
      </x:c>
      <x:c r="G45" s="8">
        <x:v>350</x:v>
      </x:c>
      <x:c r="H45" s="8">
        <x:v>700</x:v>
      </x:c>
      <x:c r="I45" s="0" t="s">
        <x:v>23</x:v>
      </x:c>
      <x:c r="K45" s="8">
        <x:v>700</x:v>
      </x:c>
      <x:c r="L45" s="0" t="s">
        <x:v>24</x:v>
      </x:c>
      <x:c r="M45" s="0" t="s">
        <x:v>25</x:v>
      </x:c>
      <x:c r="N45" s="0" t="s">
        <x:v>26</x:v>
      </x:c>
      <x:c r="P45" s="0" t="s">
        <x:v>27</x:v>
      </x:c>
    </x:row>
    <x:row r="46" spans="1:20">
      <x:c r="A46" s="0">
        <x:v>45</x:v>
      </x:c>
      <x:c r="B46" s="0" t="s">
        <x:v>57</x:v>
      </x:c>
      <x:c r="C46" s="0" t="s">
        <x:v>21</x:v>
      </x:c>
      <x:c r="D46" s="0" t="s">
        <x:v>22</x:v>
      </x:c>
      <x:c r="E46" s="0">
        <x:v>1</x:v>
      </x:c>
      <x:c r="F46" s="0">
        <x:v>8</x:v>
      </x:c>
      <x:c r="G46" s="8">
        <x:v>147.88</x:v>
      </x:c>
      <x:c r="H46" s="8">
        <x:v>1183</x:v>
      </x:c>
      <x:c r="I46" s="0" t="s">
        <x:v>23</x:v>
      </x:c>
      <x:c r="K46" s="8">
        <x:v>1183</x:v>
      </x:c>
      <x:c r="L46" s="0" t="s">
        <x:v>24</x:v>
      </x:c>
      <x:c r="M46" s="0" t="s">
        <x:v>25</x:v>
      </x:c>
      <x:c r="N46" s="0" t="s">
        <x:v>26</x:v>
      </x:c>
      <x:c r="P46" s="0" t="s">
        <x:v>27</x:v>
      </x:c>
    </x:row>
    <x:row r="47" spans="1:20">
      <x:c r="A47" s="0">
        <x:v>46</x:v>
      </x:c>
      <x:c r="B47" s="0" t="s">
        <x:v>58</x:v>
      </x:c>
      <x:c r="C47" s="0" t="s">
        <x:v>21</x:v>
      </x:c>
      <x:c r="D47" s="0" t="s">
        <x:v>22</x:v>
      </x:c>
      <x:c r="E47" s="0">
        <x:v>1</x:v>
      </x:c>
      <x:c r="F47" s="0">
        <x:v>6</x:v>
      </x:c>
      <x:c r="G47" s="8">
        <x:v>280</x:v>
      </x:c>
      <x:c r="H47" s="8">
        <x:v>1680</x:v>
      </x:c>
      <x:c r="I47" s="0" t="s">
        <x:v>23</x:v>
      </x:c>
      <x:c r="K47" s="8">
        <x:v>1680</x:v>
      </x:c>
      <x:c r="L47" s="0" t="s">
        <x:v>24</x:v>
      </x:c>
      <x:c r="M47" s="0" t="s">
        <x:v>25</x:v>
      </x:c>
      <x:c r="N47" s="0" t="s">
        <x:v>26</x:v>
      </x:c>
      <x:c r="P47" s="0" t="s">
        <x:v>27</x:v>
      </x:c>
    </x:row>
    <x:row r="48" spans="1:20">
      <x:c r="A48" s="0">
        <x:v>47</x:v>
      </x:c>
      <x:c r="B48" s="0" t="s">
        <x:v>60</x:v>
      </x:c>
      <x:c r="C48" s="0" t="s">
        <x:v>21</x:v>
      </x:c>
      <x:c r="D48" s="0" t="s">
        <x:v>22</x:v>
      </x:c>
      <x:c r="E48" s="0">
        <x:v>1</x:v>
      </x:c>
      <x:c r="F48" s="0">
        <x:v>2</x:v>
      </x:c>
      <x:c r="G48" s="8">
        <x:v>58</x:v>
      </x:c>
      <x:c r="H48" s="8">
        <x:v>116</x:v>
      </x:c>
      <x:c r="I48" s="0" t="s">
        <x:v>23</x:v>
      </x:c>
      <x:c r="K48" s="8">
        <x:v>116</x:v>
      </x:c>
      <x:c r="L48" s="0" t="s">
        <x:v>24</x:v>
      </x:c>
      <x:c r="M48" s="0" t="s">
        <x:v>25</x:v>
      </x:c>
      <x:c r="N48" s="0" t="s">
        <x:v>26</x:v>
      </x:c>
      <x:c r="P48" s="0" t="s">
        <x:v>27</x:v>
      </x:c>
    </x:row>
    <x:row r="49" spans="1:20">
      <x:c r="A49" s="0">
        <x:v>48</x:v>
      </x:c>
      <x:c r="B49" s="0" t="s">
        <x:v>90</x:v>
      </x:c>
      <x:c r="C49" s="0" t="s">
        <x:v>21</x:v>
      </x:c>
      <x:c r="D49" s="0" t="s">
        <x:v>22</x:v>
      </x:c>
      <x:c r="E49" s="0">
        <x:v>1</x:v>
      </x:c>
      <x:c r="F49" s="0">
        <x:v>2</x:v>
      </x:c>
      <x:c r="G49" s="8">
        <x:v>45</x:v>
      </x:c>
      <x:c r="H49" s="8">
        <x:v>90</x:v>
      </x:c>
      <x:c r="I49" s="0" t="s">
        <x:v>23</x:v>
      </x:c>
      <x:c r="K49" s="8">
        <x:v>90</x:v>
      </x:c>
      <x:c r="L49" s="0" t="s">
        <x:v>24</x:v>
      </x:c>
      <x:c r="M49" s="0" t="s">
        <x:v>25</x:v>
      </x:c>
      <x:c r="N49" s="0" t="s">
        <x:v>26</x:v>
      </x:c>
      <x:c r="P49" s="0" t="s">
        <x:v>27</x:v>
      </x:c>
    </x:row>
    <x:row r="50" spans="1:20">
      <x:c r="H50" s="18">
        <x:f>SUM(H2:H49)</x:f>
      </x:c>
    </x:row>
    <x:row r="52" spans="1:20">
      <x:c r="B52" s="19" t="s">
        <x:v>163</x:v>
      </x:c>
      <x:c r="C52" s="20"/>
      <x:c r="D52" s="20"/>
      <x:c r="E52" s="20"/>
      <x:c r="F52" s="20"/>
      <x:c r="G52" s="20"/>
      <x:c r="H52" s="21">
        <x:f>SUM(H53:H55)</x:f>
      </x:c>
      <x:c r="I52" s="22" t="s">
        <x:v>164</x:v>
      </x:c>
    </x:row>
    <x:row r="53" spans="1:20">
      <x:c r="B53" s="21" t="s">
        <x:v>165</x:v>
      </x:c>
      <x:c r="C53" s="21"/>
      <x:c r="D53" s="21"/>
      <x:c r="E53" s="21"/>
      <x:c r="F53" s="20">
        <x:f>F2+F3+F4+F5+F7+F9+F10+F25+F26+F27+F29+F30+F31+F35+F36+F46+F47+F48</x:f>
      </x:c>
      <x:c r="G53" s="20">
        <x:f>G2+G3+G4+G5+G7+G9+G10+G25+G26+G27+G29+G30+G31+G35+G36+G46+G47+G48</x:f>
      </x:c>
      <x:c r="H53" s="20">
        <x:f>H2+H3+H4+H5+H7+H9+H10+H25+H26+H27+H29+H30+H31+H35+H36+H46+H47+H48</x:f>
      </x:c>
      <x:c r="I53" s="15"/>
    </x:row>
    <x:row r="54" spans="1:20">
      <x:c r="B54" s="21" t="s">
        <x:v>166</x:v>
      </x:c>
      <x:c r="C54" s="21"/>
      <x:c r="D54" s="21"/>
      <x:c r="E54" s="21"/>
      <x:c r="F54" s="20">
        <x:f>F38+F49</x:f>
      </x:c>
      <x:c r="G54" s="20">
        <x:f>G38+G49</x:f>
      </x:c>
      <x:c r="H54" s="20">
        <x:f>H38+H49</x:f>
      </x:c>
      <x:c r="I54" s="15"/>
    </x:row>
    <x:row r="55" spans="1:20">
      <x:c r="B55" s="21" t="s">
        <x:v>167</x:v>
      </x:c>
      <x:c r="C55" s="21"/>
      <x:c r="D55" s="21"/>
      <x:c r="E55" s="21"/>
      <x:c r="F55" s="20">
        <x:f>F37+F40+F41</x:f>
      </x:c>
      <x:c r="G55" s="20">
        <x:f>G37+G40+G41</x:f>
      </x:c>
      <x:c r="H55" s="20">
        <x:f>H37+H40+H41</x:f>
      </x:c>
      <x:c r="I55" s="15"/>
    </x:row>
    <x:row r="56" spans="1:20">
      <x:c r="B56" s="19" t="s">
        <x:v>168</x:v>
      </x:c>
      <x:c r="C56" s="20"/>
      <x:c r="D56" s="20"/>
      <x:c r="E56" s="20"/>
      <x:c r="F56" s="20"/>
      <x:c r="G56" s="20"/>
      <x:c r="H56" s="21">
        <x:f>SUM(H57:H63)</x:f>
      </x:c>
      <x:c r="I56" s="22" t="s">
        <x:v>169</x:v>
      </x:c>
    </x:row>
    <x:row r="57" spans="1:20">
      <x:c r="B57" s="21" t="s">
        <x:v>170</x:v>
      </x:c>
      <x:c r="C57" s="21"/>
      <x:c r="D57" s="21"/>
      <x:c r="E57" s="21"/>
      <x:c r="F57" s="20">
        <x:f>F11+F12+F13+F14+F15+F16+F17+F18+F19+F20+F21+F22+F23+F24</x:f>
      </x:c>
      <x:c r="G57" s="20">
        <x:f>G11+G12+G13+G14+G15+G16+G17+G18+G19+G20+G21+G22+G23+G24</x:f>
      </x:c>
      <x:c r="H57" s="20">
        <x:f>H11+H12+H13+H14+H15+H16+H17+H18+H19+H20+H21+H22+H23+H24</x:f>
      </x:c>
      <x:c r="I57" s="15"/>
    </x:row>
    <x:row r="58" spans="1:20">
      <x:c r="B58" s="21" t="s">
        <x:v>171</x:v>
      </x:c>
      <x:c r="C58" s="21"/>
      <x:c r="D58" s="21"/>
      <x:c r="E58" s="21"/>
      <x:c r="F58" s="20"/>
      <x:c r="G58" s="20"/>
      <x:c r="H58" s="20"/>
      <x:c r="I58" s="15"/>
    </x:row>
    <x:row r="59" spans="1:20">
      <x:c r="B59" s="21" t="s">
        <x:v>172</x:v>
      </x:c>
      <x:c r="C59" s="21"/>
      <x:c r="D59" s="21"/>
      <x:c r="E59" s="21"/>
      <x:c r="F59" s="20"/>
      <x:c r="G59" s="20"/>
      <x:c r="H59" s="20"/>
      <x:c r="I59" s="15"/>
    </x:row>
    <x:row r="60" spans="1:20">
      <x:c r="B60" s="21" t="s">
        <x:v>173</x:v>
      </x:c>
      <x:c r="C60" s="21"/>
      <x:c r="D60" s="21"/>
      <x:c r="E60" s="21"/>
      <x:c r="F60" s="20">
        <x:f>F6+F8+F44</x:f>
      </x:c>
      <x:c r="G60" s="20">
        <x:f>G6+G8+G44</x:f>
      </x:c>
      <x:c r="H60" s="20">
        <x:f>H6+H8+H44</x:f>
      </x:c>
      <x:c r="I60" s="15"/>
    </x:row>
    <x:row r="61" spans="1:20">
      <x:c r="B61" s="21" t="s">
        <x:v>174</x:v>
      </x:c>
      <x:c r="C61" s="21"/>
      <x:c r="D61" s="21"/>
      <x:c r="E61" s="21"/>
      <x:c r="F61" s="20"/>
      <x:c r="G61" s="20"/>
      <x:c r="H61" s="20"/>
      <x:c r="I61" s="15"/>
    </x:row>
    <x:row r="62" spans="1:20">
      <x:c r="B62" s="21" t="s">
        <x:v>70</x:v>
      </x:c>
      <x:c r="C62" s="21"/>
      <x:c r="D62" s="21"/>
      <x:c r="E62" s="21"/>
      <x:c r="F62" s="20"/>
      <x:c r="G62" s="20"/>
      <x:c r="H62" s="20"/>
      <x:c r="I62" s="15"/>
    </x:row>
    <x:row r="63" spans="1:20">
      <x:c r="B63" s="21" t="s">
        <x:v>175</x:v>
      </x:c>
      <x:c r="C63" s="21"/>
      <x:c r="D63" s="21"/>
      <x:c r="E63" s="21"/>
      <x:c r="F63" s="20"/>
      <x:c r="G63" s="20"/>
      <x:c r="H63" s="20"/>
      <x:c r="I63" s="15"/>
    </x:row>
    <x:row r="64" spans="1:20">
      <x:c r="B64" s="19" t="s">
        <x:v>176</x:v>
      </x:c>
      <x:c r="C64" s="20"/>
      <x:c r="D64" s="20"/>
      <x:c r="E64" s="20"/>
      <x:c r="F64" s="20"/>
      <x:c r="G64" s="20"/>
      <x:c r="H64" s="21">
        <x:f>SUM(H65:H70)</x:f>
      </x:c>
      <x:c r="I64" s="22" t="s">
        <x:v>177</x:v>
      </x:c>
    </x:row>
    <x:row r="65" spans="1:20">
      <x:c r="B65" s="21" t="s">
        <x:v>178</x:v>
      </x:c>
      <x:c r="C65" s="21"/>
      <x:c r="D65" s="21"/>
      <x:c r="E65" s="21"/>
      <x:c r="F65" s="20"/>
      <x:c r="G65" s="20"/>
      <x:c r="H65" s="20"/>
      <x:c r="I65" s="15"/>
    </x:row>
    <x:row r="66" spans="1:20">
      <x:c r="B66" s="21" t="s">
        <x:v>179</x:v>
      </x:c>
      <x:c r="C66" s="21"/>
      <x:c r="D66" s="21"/>
      <x:c r="E66" s="21"/>
      <x:c r="F66" s="20">
        <x:f>F43</x:f>
      </x:c>
      <x:c r="G66" s="20">
        <x:f>G43</x:f>
      </x:c>
      <x:c r="H66" s="20">
        <x:f>H43</x:f>
      </x:c>
      <x:c r="I66" s="15"/>
    </x:row>
    <x:row r="67" spans="1:20">
      <x:c r="B67" s="21" t="s">
        <x:v>54</x:v>
      </x:c>
      <x:c r="C67" s="21"/>
      <x:c r="D67" s="21"/>
      <x:c r="E67" s="21"/>
      <x:c r="F67" s="20">
        <x:f>F42</x:f>
      </x:c>
      <x:c r="G67" s="20">
        <x:f>G42</x:f>
      </x:c>
      <x:c r="H67" s="20">
        <x:f>H42</x:f>
      </x:c>
      <x:c r="I67" s="15"/>
    </x:row>
    <x:row r="68" spans="1:20">
      <x:c r="B68" s="21" t="s">
        <x:v>180</x:v>
      </x:c>
      <x:c r="C68" s="21"/>
      <x:c r="D68" s="21"/>
      <x:c r="E68" s="21"/>
      <x:c r="F68" s="20">
        <x:f>F28+F32+F45</x:f>
      </x:c>
      <x:c r="G68" s="20">
        <x:f>G28+G32+G45</x:f>
      </x:c>
      <x:c r="H68" s="20">
        <x:f>H28+H32+H45</x:f>
      </x:c>
      <x:c r="I68" s="15"/>
    </x:row>
    <x:row r="69" spans="1:20">
      <x:c r="B69" s="21" t="s">
        <x:v>181</x:v>
      </x:c>
      <x:c r="C69" s="21"/>
      <x:c r="D69" s="21"/>
      <x:c r="E69" s="21"/>
      <x:c r="F69" s="20">
        <x:f>F34+F39</x:f>
      </x:c>
      <x:c r="G69" s="20">
        <x:f>G34+G39</x:f>
      </x:c>
      <x:c r="H69" s="20">
        <x:f>H34+H39</x:f>
      </x:c>
      <x:c r="I69" s="15"/>
    </x:row>
    <x:row r="70" spans="1:20">
      <x:c r="B70" s="21" t="s">
        <x:v>182</x:v>
      </x:c>
      <x:c r="C70" s="21"/>
      <x:c r="D70" s="21"/>
      <x:c r="E70" s="21"/>
      <x:c r="F70" s="20">
        <x:f>F33</x:f>
      </x:c>
      <x:c r="G70" s="20">
        <x:f>G33</x:f>
      </x:c>
      <x:c r="H70" s="20">
        <x:f>H33</x:f>
      </x:c>
      <x:c r="I70" s="15"/>
    </x:row>
    <x:row r="71" spans="1:20">
      <x:c r="B71" s="19" t="s">
        <x:v>183</x:v>
      </x:c>
      <x:c r="C71" s="20"/>
      <x:c r="D71" s="20"/>
      <x:c r="E71" s="20"/>
      <x:c r="F71" s="20"/>
      <x:c r="G71" s="20"/>
      <x:c r="H71" s="21">
        <x:f>SUM(H72:H73)</x:f>
      </x:c>
      <x:c r="I71" s="22"/>
    </x:row>
    <x:row r="72" spans="1:20">
      <x:c r="B72" s="21" t="s">
        <x:v>184</x:v>
      </x:c>
      <x:c r="C72" s="21"/>
      <x:c r="D72" s="21"/>
      <x:c r="E72" s="21"/>
      <x:c r="F72" s="20"/>
      <x:c r="G72" s="20"/>
      <x:c r="H72" s="20"/>
      <x:c r="I72" s="15"/>
    </x:row>
    <x:row r="73" spans="1:20">
      <x:c r="B73" s="21" t="s">
        <x:v>185</x:v>
      </x:c>
      <x:c r="C73" s="21"/>
      <x:c r="D73" s="21"/>
      <x:c r="E73" s="21"/>
      <x:c r="F73" s="20"/>
      <x:c r="G73" s="20"/>
      <x:c r="H73" s="20"/>
      <x:c r="I73" s="15"/>
    </x:row>
    <x:row r="74" spans="1:20">
      <x:c r="B74" s="22"/>
      <x:c r="C74" s="22"/>
      <x:c r="D74" s="22"/>
      <x:c r="E74" s="22"/>
      <x:c r="F74" s="15"/>
      <x:c r="G74" s="15"/>
      <x:c r="H74" s="22">
        <x:f>H52+H56+H64+H71</x:f>
      </x:c>
      <x:c r="I74" s="15"/>
    </x:row>
    <x:row r="75" spans="1:20">
      <x:c r="H75" s="17">
        <x:f>H74 - H50</x:f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6778F53-8D3D-A74B-BC60-0054DEFA5199}" mc:Ignorable="x14ac xr xr2 xr3">
  <x:sheetPr>
    <x:outlinePr summaryBelow="1" summaryRight="1"/>
  </x:sheetPr>
  <x:dimension ref="A1:T40"/>
  <x:sheetViews>
    <x:sheetView topLeftCell="A37" workbookViewId="0">
      <x:selection activeCell="J70" sqref="J70 A41:J70"/>
    </x:sheetView>
  </x:sheetViews>
  <x:sheetFormatPr defaultColWidth="11.210625" defaultRowHeight="15.75"/>
  <x:cols>
    <x:col min="1" max="1" width="11.210625" style="0" customWidth="1"/>
    <x:col min="2" max="2" width="41.875" style="0" customWidth="1"/>
    <x:col min="3" max="3" width="3.375" style="0" customWidth="1"/>
    <x:col min="4" max="5" width="2.375" style="0" customWidth="1"/>
    <x:col min="6" max="6" width="11.625" style="0" customWidth="1"/>
  </x:cols>
  <x:sheetData>
    <x:row r="1" spans="1:2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</x:row>
    <x:row r="2" spans="1:20">
      <x:c r="A2" s="0">
        <x:v>1</x:v>
      </x:c>
      <x:c r="B2" s="0" t="s">
        <x:v>131</x:v>
      </x:c>
      <x:c r="C2" s="0" t="s">
        <x:v>21</x:v>
      </x:c>
      <x:c r="D2" s="0" t="s">
        <x:v>22</x:v>
      </x:c>
      <x:c r="E2" s="0">
        <x:v>1</x:v>
      </x:c>
      <x:c r="F2" s="0">
        <x:v>1</x:v>
      </x:c>
      <x:c r="G2" s="8">
        <x:v>200</x:v>
      </x:c>
      <x:c r="H2" s="8">
        <x:v>200</x:v>
      </x:c>
      <x:c r="I2" s="0" t="s">
        <x:v>23</x:v>
      </x:c>
      <x:c r="K2" s="8">
        <x:v>200</x:v>
      </x:c>
      <x:c r="L2" s="0" t="s">
        <x:v>24</x:v>
      </x:c>
      <x:c r="M2" s="0" t="s">
        <x:v>25</x:v>
      </x:c>
      <x:c r="N2" s="0" t="s">
        <x:v>26</x:v>
      </x:c>
      <x:c r="P2" s="0" t="s">
        <x:v>27</x:v>
      </x:c>
    </x:row>
    <x:row r="3" spans="1:20">
      <x:c r="A3" s="0">
        <x:v>2</x:v>
      </x:c>
      <x:c r="B3" s="0" t="s">
        <x:v>91</x:v>
      </x:c>
      <x:c r="C3" s="0" t="s">
        <x:v>21</x:v>
      </x:c>
      <x:c r="D3" s="0" t="s">
        <x:v>22</x:v>
      </x:c>
      <x:c r="E3" s="0">
        <x:v>1</x:v>
      </x:c>
      <x:c r="F3" s="0">
        <x:v>1</x:v>
      </x:c>
      <x:c r="G3" s="8">
        <x:v>350</x:v>
      </x:c>
      <x:c r="H3" s="8">
        <x:v>350</x:v>
      </x:c>
      <x:c r="I3" s="0" t="s">
        <x:v>23</x:v>
      </x:c>
      <x:c r="K3" s="8">
        <x:v>350</x:v>
      </x:c>
      <x:c r="L3" s="0" t="s">
        <x:v>24</x:v>
      </x:c>
      <x:c r="M3" s="0" t="s">
        <x:v>25</x:v>
      </x:c>
      <x:c r="N3" s="0" t="s">
        <x:v>26</x:v>
      </x:c>
      <x:c r="P3" s="0" t="s">
        <x:v>27</x:v>
      </x:c>
    </x:row>
    <x:row r="4" spans="1:20">
      <x:c r="A4" s="0">
        <x:v>3</x:v>
      </x:c>
      <x:c r="B4" s="0" t="s">
        <x:v>61</x:v>
      </x:c>
      <x:c r="C4" s="0" t="s">
        <x:v>21</x:v>
      </x:c>
      <x:c r="D4" s="0" t="s">
        <x:v>22</x:v>
      </x:c>
      <x:c r="E4" s="0">
        <x:v>1</x:v>
      </x:c>
      <x:c r="F4" s="0">
        <x:v>5</x:v>
      </x:c>
      <x:c r="G4" s="8">
        <x:v>250</x:v>
      </x:c>
      <x:c r="H4" s="8">
        <x:v>1250</x:v>
      </x:c>
      <x:c r="I4" s="0" t="s">
        <x:v>23</x:v>
      </x:c>
      <x:c r="K4" s="8">
        <x:v>1250</x:v>
      </x:c>
      <x:c r="L4" s="0" t="s">
        <x:v>24</x:v>
      </x:c>
      <x:c r="M4" s="0" t="s">
        <x:v>25</x:v>
      </x:c>
      <x:c r="N4" s="0" t="s">
        <x:v>26</x:v>
      </x:c>
      <x:c r="P4" s="0" t="s">
        <x:v>27</x:v>
      </x:c>
    </x:row>
    <x:row r="5" spans="1:20">
      <x:c r="A5" s="0">
        <x:v>4</x:v>
      </x:c>
      <x:c r="B5" s="0" t="s">
        <x:v>20</x:v>
      </x:c>
      <x:c r="C5" s="0" t="s">
        <x:v>21</x:v>
      </x:c>
      <x:c r="D5" s="0" t="s">
        <x:v>22</x:v>
      </x:c>
      <x:c r="E5" s="0">
        <x:v>1</x:v>
      </x:c>
      <x:c r="F5" s="0">
        <x:v>3</x:v>
      </x:c>
      <x:c r="G5" s="8">
        <x:v>150</x:v>
      </x:c>
      <x:c r="H5" s="8">
        <x:v>450</x:v>
      </x:c>
      <x:c r="I5" s="0" t="s">
        <x:v>23</x:v>
      </x:c>
      <x:c r="K5" s="8">
        <x:v>450</x:v>
      </x:c>
      <x:c r="L5" s="0" t="s">
        <x:v>24</x:v>
      </x:c>
      <x:c r="M5" s="0" t="s">
        <x:v>25</x:v>
      </x:c>
      <x:c r="N5" s="0" t="s">
        <x:v>26</x:v>
      </x:c>
      <x:c r="P5" s="0" t="s">
        <x:v>27</x:v>
      </x:c>
    </x:row>
    <x:row r="6" spans="1:20">
      <x:c r="A6" s="0">
        <x:v>5</x:v>
      </x:c>
      <x:c r="B6" s="0" t="s">
        <x:v>28</x:v>
      </x:c>
      <x:c r="C6" s="0" t="s">
        <x:v>21</x:v>
      </x:c>
      <x:c r="D6" s="0" t="s">
        <x:v>22</x:v>
      </x:c>
      <x:c r="E6" s="0">
        <x:v>1</x:v>
      </x:c>
      <x:c r="F6" s="0">
        <x:v>1</x:v>
      </x:c>
      <x:c r="G6" s="8">
        <x:v>250</x:v>
      </x:c>
      <x:c r="H6" s="8">
        <x:v>250</x:v>
      </x:c>
      <x:c r="I6" s="0" t="s">
        <x:v>23</x:v>
      </x:c>
      <x:c r="K6" s="8">
        <x:v>250</x:v>
      </x:c>
      <x:c r="L6" s="0" t="s">
        <x:v>24</x:v>
      </x:c>
      <x:c r="M6" s="0" t="s">
        <x:v>25</x:v>
      </x:c>
      <x:c r="N6" s="0" t="s">
        <x:v>26</x:v>
      </x:c>
      <x:c r="P6" s="0" t="s">
        <x:v>27</x:v>
      </x:c>
    </x:row>
    <x:row r="7" spans="1:20">
      <x:c r="A7" s="0">
        <x:v>6</x:v>
      </x:c>
      <x:c r="B7" s="0" t="s">
        <x:v>74</x:v>
      </x:c>
      <x:c r="C7" s="0" t="s">
        <x:v>21</x:v>
      </x:c>
      <x:c r="D7" s="0" t="s">
        <x:v>22</x:v>
      </x:c>
      <x:c r="E7" s="0">
        <x:v>1</x:v>
      </x:c>
      <x:c r="F7" s="0">
        <x:v>2</x:v>
      </x:c>
      <x:c r="G7" s="8">
        <x:v>212.5</x:v>
      </x:c>
      <x:c r="H7" s="8">
        <x:v>425</x:v>
      </x:c>
      <x:c r="I7" s="0" t="s">
        <x:v>23</x:v>
      </x:c>
      <x:c r="K7" s="8">
        <x:v>425</x:v>
      </x:c>
      <x:c r="L7" s="0" t="s">
        <x:v>24</x:v>
      </x:c>
      <x:c r="M7" s="0" t="s">
        <x:v>25</x:v>
      </x:c>
      <x:c r="N7" s="0" t="s">
        <x:v>26</x:v>
      </x:c>
      <x:c r="P7" s="0" t="s">
        <x:v>27</x:v>
      </x:c>
    </x:row>
    <x:row r="8" spans="1:20">
      <x:c r="A8" s="0">
        <x:v>7</x:v>
      </x:c>
      <x:c r="B8" s="0" t="s">
        <x:v>29</x:v>
      </x:c>
      <x:c r="C8" s="0" t="s">
        <x:v>21</x:v>
      </x:c>
      <x:c r="D8" s="0" t="s">
        <x:v>22</x:v>
      </x:c>
      <x:c r="E8" s="0">
        <x:v>1</x:v>
      </x:c>
      <x:c r="F8" s="0">
        <x:v>1</x:v>
      </x:c>
      <x:c r="G8" s="8">
        <x:v>212.5</x:v>
      </x:c>
      <x:c r="H8" s="8">
        <x:v>212.5</x:v>
      </x:c>
      <x:c r="I8" s="0" t="s">
        <x:v>23</x:v>
      </x:c>
      <x:c r="K8" s="8">
        <x:v>212.5</x:v>
      </x:c>
      <x:c r="L8" s="0" t="s">
        <x:v>24</x:v>
      </x:c>
      <x:c r="M8" s="0" t="s">
        <x:v>25</x:v>
      </x:c>
      <x:c r="N8" s="0" t="s">
        <x:v>26</x:v>
      </x:c>
      <x:c r="P8" s="0" t="s">
        <x:v>27</x:v>
      </x:c>
    </x:row>
    <x:row r="9" spans="1:20">
      <x:c r="A9" s="0">
        <x:v>8</x:v>
      </x:c>
      <x:c r="B9" s="0" t="s">
        <x:v>30</x:v>
      </x:c>
      <x:c r="C9" s="0" t="s">
        <x:v>21</x:v>
      </x:c>
      <x:c r="D9" s="0" t="s">
        <x:v>22</x:v>
      </x:c>
      <x:c r="E9" s="0">
        <x:v>1</x:v>
      </x:c>
      <x:c r="F9" s="0">
        <x:v>6</x:v>
      </x:c>
      <x:c r="G9" s="8">
        <x:v>267.06</x:v>
      </x:c>
      <x:c r="H9" s="8">
        <x:v>1602.38</x:v>
      </x:c>
      <x:c r="I9" s="0" t="s">
        <x:v>23</x:v>
      </x:c>
      <x:c r="K9" s="8">
        <x:v>1602.38</x:v>
      </x:c>
      <x:c r="L9" s="0" t="s">
        <x:v>24</x:v>
      </x:c>
      <x:c r="M9" s="0" t="s">
        <x:v>25</x:v>
      </x:c>
      <x:c r="N9" s="0" t="s">
        <x:v>26</x:v>
      </x:c>
      <x:c r="P9" s="0" t="s">
        <x:v>27</x:v>
      </x:c>
    </x:row>
    <x:row r="10" spans="1:20">
      <x:c r="A10" s="0">
        <x:v>9</x:v>
      </x:c>
      <x:c r="B10" s="0" t="s">
        <x:v>31</x:v>
      </x:c>
      <x:c r="C10" s="0" t="s">
        <x:v>21</x:v>
      </x:c>
      <x:c r="D10" s="0" t="s">
        <x:v>22</x:v>
      </x:c>
      <x:c r="E10" s="0">
        <x:v>1</x:v>
      </x:c>
      <x:c r="F10" s="0">
        <x:v>1</x:v>
      </x:c>
      <x:c r="G10" s="8">
        <x:v>23.95</x:v>
      </x:c>
      <x:c r="H10" s="8">
        <x:v>23.95</x:v>
      </x:c>
      <x:c r="I10" s="0" t="s">
        <x:v>23</x:v>
      </x:c>
      <x:c r="K10" s="8">
        <x:v>23.95</x:v>
      </x:c>
      <x:c r="L10" s="0" t="s">
        <x:v>24</x:v>
      </x:c>
      <x:c r="M10" s="0" t="s">
        <x:v>25</x:v>
      </x:c>
      <x:c r="N10" s="0" t="s">
        <x:v>26</x:v>
      </x:c>
      <x:c r="P10" s="0" t="s">
        <x:v>27</x:v>
      </x:c>
    </x:row>
    <x:row r="11" spans="1:20">
      <x:c r="A11" s="0">
        <x:v>10</x:v>
      </x:c>
      <x:c r="B11" s="0" t="s">
        <x:v>124</x:v>
      </x:c>
      <x:c r="C11" s="0" t="s">
        <x:v>21</x:v>
      </x:c>
      <x:c r="D11" s="0" t="s">
        <x:v>22</x:v>
      </x:c>
      <x:c r="E11" s="0">
        <x:v>1</x:v>
      </x:c>
      <x:c r="F11" s="0">
        <x:v>1</x:v>
      </x:c>
      <x:c r="G11" s="8">
        <x:v>50</x:v>
      </x:c>
      <x:c r="H11" s="8">
        <x:v>50</x:v>
      </x:c>
      <x:c r="I11" s="0" t="s">
        <x:v>23</x:v>
      </x:c>
      <x:c r="K11" s="8">
        <x:v>50</x:v>
      </x:c>
      <x:c r="L11" s="0" t="s">
        <x:v>24</x:v>
      </x:c>
      <x:c r="M11" s="0" t="s">
        <x:v>25</x:v>
      </x:c>
      <x:c r="N11" s="0" t="s">
        <x:v>26</x:v>
      </x:c>
      <x:c r="P11" s="0" t="s">
        <x:v>27</x:v>
      </x:c>
    </x:row>
    <x:row r="12" spans="1:20">
      <x:c r="A12" s="0">
        <x:v>11</x:v>
      </x:c>
      <x:c r="B12" s="0" t="s">
        <x:v>133</x:v>
      </x:c>
      <x:c r="C12" s="0" t="s">
        <x:v>21</x:v>
      </x:c>
      <x:c r="D12" s="0" t="s">
        <x:v>22</x:v>
      </x:c>
      <x:c r="E12" s="0">
        <x:v>1</x:v>
      </x:c>
      <x:c r="F12" s="0">
        <x:v>4</x:v>
      </x:c>
      <x:c r="G12" s="8">
        <x:v>640</x:v>
      </x:c>
      <x:c r="H12" s="8">
        <x:v>2560</x:v>
      </x:c>
      <x:c r="I12" s="0" t="s">
        <x:v>23</x:v>
      </x:c>
      <x:c r="K12" s="8">
        <x:v>2560</x:v>
      </x:c>
      <x:c r="L12" s="0" t="s">
        <x:v>24</x:v>
      </x:c>
      <x:c r="M12" s="0" t="s">
        <x:v>25</x:v>
      </x:c>
      <x:c r="N12" s="0" t="s">
        <x:v>26</x:v>
      </x:c>
      <x:c r="P12" s="0" t="s">
        <x:v>27</x:v>
      </x:c>
    </x:row>
    <x:row r="13" spans="1:20">
      <x:c r="A13" s="0">
        <x:v>12</x:v>
      </x:c>
      <x:c r="B13" s="0" t="s">
        <x:v>80</x:v>
      </x:c>
      <x:c r="C13" s="0" t="s">
        <x:v>21</x:v>
      </x:c>
      <x:c r="D13" s="0" t="s">
        <x:v>34</x:v>
      </x:c>
      <x:c r="E13" s="0">
        <x:v>1</x:v>
      </x:c>
      <x:c r="F13" s="0">
        <x:v>0.1</x:v>
      </x:c>
      <x:c r="G13" s="8">
        <x:v>3380</x:v>
      </x:c>
      <x:c r="H13" s="8">
        <x:v>338</x:v>
      </x:c>
      <x:c r="I13" s="0" t="s">
        <x:v>23</x:v>
      </x:c>
      <x:c r="K13" s="8">
        <x:v>338</x:v>
      </x:c>
      <x:c r="L13" s="0" t="s">
        <x:v>24</x:v>
      </x:c>
      <x:c r="M13" s="0" t="s">
        <x:v>25</x:v>
      </x:c>
      <x:c r="N13" s="0" t="s">
        <x:v>26</x:v>
      </x:c>
      <x:c r="P13" s="0" t="s">
        <x:v>27</x:v>
      </x:c>
    </x:row>
    <x:row r="14" spans="1:20">
      <x:c r="A14" s="0">
        <x:v>13</x:v>
      </x:c>
      <x:c r="B14" s="0" t="s">
        <x:v>63</x:v>
      </x:c>
      <x:c r="C14" s="0" t="s">
        <x:v>21</x:v>
      </x:c>
      <x:c r="D14" s="0" t="s">
        <x:v>34</x:v>
      </x:c>
      <x:c r="E14" s="0">
        <x:v>1</x:v>
      </x:c>
      <x:c r="F14" s="0">
        <x:v>0.2</x:v>
      </x:c>
      <x:c r="G14" s="8">
        <x:v>6580</x:v>
      </x:c>
      <x:c r="H14" s="8">
        <x:v>1316</x:v>
      </x:c>
      <x:c r="I14" s="0" t="s">
        <x:v>23</x:v>
      </x:c>
      <x:c r="K14" s="8">
        <x:v>1316</x:v>
      </x:c>
      <x:c r="L14" s="0" t="s">
        <x:v>24</x:v>
      </x:c>
      <x:c r="M14" s="0" t="s">
        <x:v>25</x:v>
      </x:c>
      <x:c r="N14" s="0" t="s">
        <x:v>26</x:v>
      </x:c>
      <x:c r="P14" s="0" t="s">
        <x:v>27</x:v>
      </x:c>
    </x:row>
    <x:row r="15" spans="1:20">
      <x:c r="A15" s="0">
        <x:v>14</x:v>
      </x:c>
      <x:c r="B15" s="0" t="s">
        <x:v>82</x:v>
      </x:c>
      <x:c r="C15" s="0" t="s">
        <x:v>21</x:v>
      </x:c>
      <x:c r="D15" s="0" t="s">
        <x:v>34</x:v>
      </x:c>
      <x:c r="E15" s="0">
        <x:v>1</x:v>
      </x:c>
      <x:c r="F15" s="0">
        <x:v>0.1</x:v>
      </x:c>
      <x:c r="G15" s="8">
        <x:v>4980</x:v>
      </x:c>
      <x:c r="H15" s="8">
        <x:v>498</x:v>
      </x:c>
      <x:c r="I15" s="0" t="s">
        <x:v>23</x:v>
      </x:c>
      <x:c r="K15" s="8">
        <x:v>498</x:v>
      </x:c>
      <x:c r="L15" s="0" t="s">
        <x:v>24</x:v>
      </x:c>
      <x:c r="M15" s="0" t="s">
        <x:v>25</x:v>
      </x:c>
      <x:c r="N15" s="0" t="s">
        <x:v>26</x:v>
      </x:c>
      <x:c r="P15" s="0" t="s">
        <x:v>27</x:v>
      </x:c>
    </x:row>
    <x:row r="16" spans="1:20">
      <x:c r="A16" s="0">
        <x:v>15</x:v>
      </x:c>
      <x:c r="B16" s="0" t="s">
        <x:v>33</x:v>
      </x:c>
      <x:c r="C16" s="0" t="s">
        <x:v>21</x:v>
      </x:c>
      <x:c r="D16" s="0" t="s">
        <x:v>34</x:v>
      </x:c>
      <x:c r="E16" s="0">
        <x:v>1</x:v>
      </x:c>
      <x:c r="F16" s="0">
        <x:v>0.1</x:v>
      </x:c>
      <x:c r="G16" s="8">
        <x:v>3580</x:v>
      </x:c>
      <x:c r="H16" s="8">
        <x:v>358</x:v>
      </x:c>
      <x:c r="I16" s="0" t="s">
        <x:v>23</x:v>
      </x:c>
      <x:c r="K16" s="8">
        <x:v>358</x:v>
      </x:c>
      <x:c r="L16" s="0" t="s">
        <x:v>24</x:v>
      </x:c>
      <x:c r="M16" s="0" t="s">
        <x:v>25</x:v>
      </x:c>
      <x:c r="N16" s="0" t="s">
        <x:v>26</x:v>
      </x:c>
      <x:c r="P16" s="0" t="s">
        <x:v>27</x:v>
      </x:c>
    </x:row>
    <x:row r="17" spans="1:20">
      <x:c r="A17" s="0">
        <x:v>16</x:v>
      </x:c>
      <x:c r="B17" s="23" t="s">
        <x:v>139</x:v>
      </x:c>
      <x:c r="C17" s="23" t="s">
        <x:v>21</x:v>
      </x:c>
      <x:c r="D17" s="23" t="s">
        <x:v>34</x:v>
      </x:c>
      <x:c r="E17" s="23">
        <x:v>1</x:v>
      </x:c>
      <x:c r="F17" s="23">
        <x:v>46</x:v>
      </x:c>
      <x:c r="G17" s="24">
        <x:v>2173.91</x:v>
      </x:c>
      <x:c r="H17" s="24">
        <x:v>100000</x:v>
      </x:c>
      <x:c r="I17" s="23" t="s">
        <x:v>23</x:v>
      </x:c>
      <x:c r="J17" s="23"/>
      <x:c r="K17" s="24">
        <x:v>100000</x:v>
      </x:c>
      <x:c r="L17" s="0" t="s">
        <x:v>24</x:v>
      </x:c>
      <x:c r="M17" s="0" t="s">
        <x:v>25</x:v>
      </x:c>
      <x:c r="N17" s="0" t="s">
        <x:v>26</x:v>
      </x:c>
      <x:c r="P17" s="0" t="s">
        <x:v>27</x:v>
      </x:c>
    </x:row>
    <x:row r="18" spans="1:20">
      <x:c r="A18" s="0">
        <x:v>17</x:v>
      </x:c>
      <x:c r="B18" s="0" t="s">
        <x:v>120</x:v>
      </x:c>
      <x:c r="C18" s="0" t="s">
        <x:v>21</x:v>
      </x:c>
      <x:c r="D18" s="0" t="s">
        <x:v>34</x:v>
      </x:c>
      <x:c r="E18" s="0">
        <x:v>1</x:v>
      </x:c>
      <x:c r="F18" s="0">
        <x:v>0.4</x:v>
      </x:c>
      <x:c r="G18" s="8">
        <x:v>4980</x:v>
      </x:c>
      <x:c r="H18" s="8">
        <x:v>1992</x:v>
      </x:c>
      <x:c r="I18" s="0" t="s">
        <x:v>23</x:v>
      </x:c>
      <x:c r="K18" s="8">
        <x:v>1992</x:v>
      </x:c>
      <x:c r="L18" s="0" t="s">
        <x:v>24</x:v>
      </x:c>
      <x:c r="M18" s="0" t="s">
        <x:v>25</x:v>
      </x:c>
      <x:c r="N18" s="0" t="s">
        <x:v>26</x:v>
      </x:c>
      <x:c r="P18" s="0" t="s">
        <x:v>27</x:v>
      </x:c>
    </x:row>
    <x:row r="19" spans="1:20">
      <x:c r="A19" s="0">
        <x:v>18</x:v>
      </x:c>
      <x:c r="B19" s="0" t="s">
        <x:v>94</x:v>
      </x:c>
      <x:c r="C19" s="0" t="s">
        <x:v>21</x:v>
      </x:c>
      <x:c r="D19" s="0" t="s">
        <x:v>22</x:v>
      </x:c>
      <x:c r="E19" s="0">
        <x:v>1</x:v>
      </x:c>
      <x:c r="F19" s="0">
        <x:v>1</x:v>
      </x:c>
      <x:c r="G19" s="8">
        <x:v>85</x:v>
      </x:c>
      <x:c r="H19" s="8">
        <x:v>85</x:v>
      </x:c>
      <x:c r="I19" s="0" t="s">
        <x:v>23</x:v>
      </x:c>
      <x:c r="K19" s="8">
        <x:v>85</x:v>
      </x:c>
      <x:c r="L19" s="0" t="s">
        <x:v>24</x:v>
      </x:c>
      <x:c r="M19" s="0" t="s">
        <x:v>25</x:v>
      </x:c>
      <x:c r="N19" s="0" t="s">
        <x:v>26</x:v>
      </x:c>
      <x:c r="P19" s="0" t="s">
        <x:v>27</x:v>
      </x:c>
    </x:row>
    <x:row r="20" spans="1:20">
      <x:c r="A20" s="0">
        <x:v>19</x:v>
      </x:c>
      <x:c r="B20" s="0" t="s">
        <x:v>125</x:v>
      </x:c>
      <x:c r="C20" s="0" t="s">
        <x:v>21</x:v>
      </x:c>
      <x:c r="D20" s="0" t="s">
        <x:v>22</x:v>
      </x:c>
      <x:c r="E20" s="0">
        <x:v>1</x:v>
      </x:c>
      <x:c r="F20" s="0">
        <x:v>1</x:v>
      </x:c>
      <x:c r="G20" s="8">
        <x:v>50</x:v>
      </x:c>
      <x:c r="H20" s="8">
        <x:v>50</x:v>
      </x:c>
      <x:c r="I20" s="0" t="s">
        <x:v>23</x:v>
      </x:c>
      <x:c r="K20" s="8">
        <x:v>50</x:v>
      </x:c>
      <x:c r="L20" s="0" t="s">
        <x:v>24</x:v>
      </x:c>
      <x:c r="M20" s="0" t="s">
        <x:v>25</x:v>
      </x:c>
      <x:c r="N20" s="0" t="s">
        <x:v>26</x:v>
      </x:c>
      <x:c r="P20" s="0" t="s">
        <x:v>27</x:v>
      </x:c>
    </x:row>
    <x:row r="21" spans="1:20">
      <x:c r="A21" s="0">
        <x:v>20</x:v>
      </x:c>
      <x:c r="B21" s="0" t="s">
        <x:v>37</x:v>
      </x:c>
      <x:c r="C21" s="0" t="s">
        <x:v>21</x:v>
      </x:c>
      <x:c r="D21" s="0" t="s">
        <x:v>22</x:v>
      </x:c>
      <x:c r="E21" s="0">
        <x:v>1</x:v>
      </x:c>
      <x:c r="F21" s="0">
        <x:v>3</x:v>
      </x:c>
      <x:c r="G21" s="8">
        <x:v>350</x:v>
      </x:c>
      <x:c r="H21" s="8">
        <x:v>1050</x:v>
      </x:c>
      <x:c r="I21" s="0" t="s">
        <x:v>23</x:v>
      </x:c>
      <x:c r="K21" s="8">
        <x:v>1050</x:v>
      </x:c>
      <x:c r="L21" s="0" t="s">
        <x:v>24</x:v>
      </x:c>
      <x:c r="M21" s="0" t="s">
        <x:v>25</x:v>
      </x:c>
      <x:c r="N21" s="0" t="s">
        <x:v>26</x:v>
      </x:c>
      <x:c r="P21" s="0" t="s">
        <x:v>27</x:v>
      </x:c>
    </x:row>
    <x:row r="22" spans="1:20">
      <x:c r="A22" s="0">
        <x:v>21</x:v>
      </x:c>
      <x:c r="B22" s="0" t="s">
        <x:v>38</x:v>
      </x:c>
      <x:c r="C22" s="0" t="s">
        <x:v>21</x:v>
      </x:c>
      <x:c r="D22" s="0" t="s">
        <x:v>22</x:v>
      </x:c>
      <x:c r="E22" s="0">
        <x:v>1</x:v>
      </x:c>
      <x:c r="F22" s="0">
        <x:v>1</x:v>
      </x:c>
      <x:c r="G22" s="8">
        <x:v>420</x:v>
      </x:c>
      <x:c r="H22" s="8">
        <x:v>420</x:v>
      </x:c>
      <x:c r="I22" s="0" t="s">
        <x:v>23</x:v>
      </x:c>
      <x:c r="K22" s="8">
        <x:v>420</x:v>
      </x:c>
      <x:c r="L22" s="0" t="s">
        <x:v>24</x:v>
      </x:c>
      <x:c r="M22" s="0" t="s">
        <x:v>25</x:v>
      </x:c>
      <x:c r="N22" s="0" t="s">
        <x:v>26</x:v>
      </x:c>
      <x:c r="P22" s="0" t="s">
        <x:v>27</x:v>
      </x:c>
    </x:row>
    <x:row r="23" spans="1:20">
      <x:c r="A23" s="0">
        <x:v>22</x:v>
      </x:c>
      <x:c r="B23" s="0" t="s">
        <x:v>103</x:v>
      </x:c>
      <x:c r="C23" s="0" t="s">
        <x:v>21</x:v>
      </x:c>
      <x:c r="D23" s="0" t="s">
        <x:v>22</x:v>
      </x:c>
      <x:c r="E23" s="0">
        <x:v>1</x:v>
      </x:c>
      <x:c r="F23" s="0">
        <x:v>1</x:v>
      </x:c>
      <x:c r="G23" s="8">
        <x:v>420</x:v>
      </x:c>
      <x:c r="H23" s="8">
        <x:v>420</x:v>
      </x:c>
      <x:c r="I23" s="0" t="s">
        <x:v>23</x:v>
      </x:c>
      <x:c r="K23" s="8">
        <x:v>420</x:v>
      </x:c>
      <x:c r="L23" s="0" t="s">
        <x:v>24</x:v>
      </x:c>
      <x:c r="M23" s="0" t="s">
        <x:v>25</x:v>
      </x:c>
      <x:c r="N23" s="0" t="s">
        <x:v>26</x:v>
      </x:c>
      <x:c r="P23" s="0" t="s">
        <x:v>27</x:v>
      </x:c>
    </x:row>
    <x:row r="24" spans="1:20">
      <x:c r="A24" s="0">
        <x:v>23</x:v>
      </x:c>
      <x:c r="B24" s="0" t="s">
        <x:v>39</x:v>
      </x:c>
      <x:c r="C24" s="0" t="s">
        <x:v>21</x:v>
      </x:c>
      <x:c r="D24" s="0" t="s">
        <x:v>22</x:v>
      </x:c>
      <x:c r="E24" s="0">
        <x:v>1</x:v>
      </x:c>
      <x:c r="F24" s="0">
        <x:v>8</x:v>
      </x:c>
      <x:c r="G24" s="8">
        <x:v>245.31</x:v>
      </x:c>
      <x:c r="H24" s="8">
        <x:v>1962.5</x:v>
      </x:c>
      <x:c r="I24" s="0" t="s">
        <x:v>23</x:v>
      </x:c>
      <x:c r="K24" s="8">
        <x:v>1962.5</x:v>
      </x:c>
      <x:c r="L24" s="0" t="s">
        <x:v>24</x:v>
      </x:c>
      <x:c r="M24" s="0" t="s">
        <x:v>25</x:v>
      </x:c>
      <x:c r="N24" s="0" t="s">
        <x:v>26</x:v>
      </x:c>
      <x:c r="P24" s="0" t="s">
        <x:v>27</x:v>
      </x:c>
    </x:row>
    <x:row r="25" spans="1:20">
      <x:c r="A25" s="0">
        <x:v>24</x:v>
      </x:c>
      <x:c r="B25" s="0" t="s">
        <x:v>41</x:v>
      </x:c>
      <x:c r="C25" s="0" t="s">
        <x:v>21</x:v>
      </x:c>
      <x:c r="D25" s="0" t="s">
        <x:v>22</x:v>
      </x:c>
      <x:c r="E25" s="0">
        <x:v>1</x:v>
      </x:c>
      <x:c r="F25" s="0">
        <x:v>2</x:v>
      </x:c>
      <x:c r="G25" s="8">
        <x:v>300</x:v>
      </x:c>
      <x:c r="H25" s="8">
        <x:v>600</x:v>
      </x:c>
      <x:c r="I25" s="0" t="s">
        <x:v>23</x:v>
      </x:c>
      <x:c r="K25" s="8">
        <x:v>600</x:v>
      </x:c>
      <x:c r="L25" s="0" t="s">
        <x:v>24</x:v>
      </x:c>
      <x:c r="M25" s="0" t="s">
        <x:v>25</x:v>
      </x:c>
      <x:c r="N25" s="0" t="s">
        <x:v>26</x:v>
      </x:c>
      <x:c r="P25" s="0" t="s">
        <x:v>27</x:v>
      </x:c>
    </x:row>
    <x:row r="26" spans="1:20">
      <x:c r="A26" s="0">
        <x:v>25</x:v>
      </x:c>
      <x:c r="B26" s="0" t="s">
        <x:v>127</x:v>
      </x:c>
      <x:c r="C26" s="0" t="s">
        <x:v>21</x:v>
      </x:c>
      <x:c r="D26" s="0" t="s">
        <x:v>22</x:v>
      </x:c>
      <x:c r="E26" s="0">
        <x:v>1</x:v>
      </x:c>
      <x:c r="F26" s="0">
        <x:v>1</x:v>
      </x:c>
      <x:c r="G26" s="8">
        <x:v>220</x:v>
      </x:c>
      <x:c r="H26" s="8">
        <x:v>220</x:v>
      </x:c>
      <x:c r="I26" s="0" t="s">
        <x:v>23</x:v>
      </x:c>
      <x:c r="K26" s="8">
        <x:v>220</x:v>
      </x:c>
      <x:c r="L26" s="0" t="s">
        <x:v>24</x:v>
      </x:c>
      <x:c r="M26" s="0" t="s">
        <x:v>25</x:v>
      </x:c>
      <x:c r="N26" s="0" t="s">
        <x:v>26</x:v>
      </x:c>
      <x:c r="P26" s="0" t="s">
        <x:v>27</x:v>
      </x:c>
    </x:row>
    <x:row r="27" spans="1:20">
      <x:c r="A27" s="0">
        <x:v>26</x:v>
      </x:c>
      <x:c r="B27" s="0" t="s">
        <x:v>44</x:v>
      </x:c>
      <x:c r="C27" s="0" t="s">
        <x:v>21</x:v>
      </x:c>
      <x:c r="D27" s="0" t="s">
        <x:v>22</x:v>
      </x:c>
      <x:c r="E27" s="0">
        <x:v>1</x:v>
      </x:c>
      <x:c r="F27" s="0">
        <x:v>5</x:v>
      </x:c>
      <x:c r="G27" s="8">
        <x:v>85</x:v>
      </x:c>
      <x:c r="H27" s="8">
        <x:v>425</x:v>
      </x:c>
      <x:c r="I27" s="0" t="s">
        <x:v>23</x:v>
      </x:c>
      <x:c r="K27" s="8">
        <x:v>425</x:v>
      </x:c>
      <x:c r="L27" s="0" t="s">
        <x:v>24</x:v>
      </x:c>
      <x:c r="M27" s="0" t="s">
        <x:v>25</x:v>
      </x:c>
      <x:c r="N27" s="0" t="s">
        <x:v>26</x:v>
      </x:c>
      <x:c r="P27" s="0" t="s">
        <x:v>27</x:v>
      </x:c>
    </x:row>
    <x:row r="28" spans="1:20">
      <x:c r="A28" s="0">
        <x:v>27</x:v>
      </x:c>
      <x:c r="B28" s="0" t="s">
        <x:v>45</x:v>
      </x:c>
      <x:c r="C28" s="0" t="s">
        <x:v>21</x:v>
      </x:c>
      <x:c r="D28" s="0" t="s">
        <x:v>22</x:v>
      </x:c>
      <x:c r="E28" s="0">
        <x:v>1</x:v>
      </x:c>
      <x:c r="F28" s="0">
        <x:v>1</x:v>
      </x:c>
      <x:c r="G28" s="8">
        <x:v>55</x:v>
      </x:c>
      <x:c r="H28" s="8">
        <x:v>55</x:v>
      </x:c>
      <x:c r="I28" s="0" t="s">
        <x:v>23</x:v>
      </x:c>
      <x:c r="K28" s="8">
        <x:v>55</x:v>
      </x:c>
      <x:c r="L28" s="0" t="s">
        <x:v>24</x:v>
      </x:c>
      <x:c r="M28" s="0" t="s">
        <x:v>25</x:v>
      </x:c>
      <x:c r="N28" s="0" t="s">
        <x:v>26</x:v>
      </x:c>
      <x:c r="P28" s="0" t="s">
        <x:v>27</x:v>
      </x:c>
    </x:row>
    <x:row r="29" spans="1:20">
      <x:c r="A29" s="0">
        <x:v>28</x:v>
      </x:c>
      <x:c r="B29" s="0" t="s">
        <x:v>47</x:v>
      </x:c>
      <x:c r="C29" s="0" t="s">
        <x:v>21</x:v>
      </x:c>
      <x:c r="D29" s="0" t="s">
        <x:v>22</x:v>
      </x:c>
      <x:c r="E29" s="0">
        <x:v>1</x:v>
      </x:c>
      <x:c r="F29" s="0">
        <x:v>1</x:v>
      </x:c>
      <x:c r="G29" s="8">
        <x:v>270</x:v>
      </x:c>
      <x:c r="H29" s="8">
        <x:v>270</x:v>
      </x:c>
      <x:c r="I29" s="0" t="s">
        <x:v>23</x:v>
      </x:c>
      <x:c r="K29" s="8">
        <x:v>270</x:v>
      </x:c>
      <x:c r="L29" s="0" t="s">
        <x:v>24</x:v>
      </x:c>
      <x:c r="M29" s="0" t="s">
        <x:v>25</x:v>
      </x:c>
      <x:c r="N29" s="0" t="s">
        <x:v>26</x:v>
      </x:c>
      <x:c r="P29" s="0" t="s">
        <x:v>27</x:v>
      </x:c>
    </x:row>
    <x:row r="30" spans="1:20">
      <x:c r="A30" s="0">
        <x:v>29</x:v>
      </x:c>
      <x:c r="B30" s="0" t="s">
        <x:v>71</x:v>
      </x:c>
      <x:c r="C30" s="0" t="s">
        <x:v>21</x:v>
      </x:c>
      <x:c r="D30" s="0" t="s">
        <x:v>22</x:v>
      </x:c>
      <x:c r="E30" s="0">
        <x:v>1</x:v>
      </x:c>
      <x:c r="F30" s="0">
        <x:v>1</x:v>
      </x:c>
      <x:c r="G30" s="8">
        <x:v>150</x:v>
      </x:c>
      <x:c r="H30" s="8">
        <x:v>150</x:v>
      </x:c>
      <x:c r="I30" s="0" t="s">
        <x:v>23</x:v>
      </x:c>
      <x:c r="K30" s="8">
        <x:v>150</x:v>
      </x:c>
      <x:c r="L30" s="0" t="s">
        <x:v>24</x:v>
      </x:c>
      <x:c r="M30" s="0" t="s">
        <x:v>25</x:v>
      </x:c>
      <x:c r="N30" s="0" t="s">
        <x:v>26</x:v>
      </x:c>
      <x:c r="P30" s="0" t="s">
        <x:v>27</x:v>
      </x:c>
    </x:row>
    <x:row r="31" spans="1:20">
      <x:c r="A31" s="0">
        <x:v>30</x:v>
      </x:c>
      <x:c r="B31" s="0" t="s">
        <x:v>72</x:v>
      </x:c>
      <x:c r="C31" s="0" t="s">
        <x:v>21</x:v>
      </x:c>
      <x:c r="D31" s="0" t="s">
        <x:v>22</x:v>
      </x:c>
      <x:c r="E31" s="0">
        <x:v>1</x:v>
      </x:c>
      <x:c r="F31" s="0">
        <x:v>2</x:v>
      </x:c>
      <x:c r="G31" s="8">
        <x:v>40</x:v>
      </x:c>
      <x:c r="H31" s="8">
        <x:v>80</x:v>
      </x:c>
      <x:c r="I31" s="0" t="s">
        <x:v>23</x:v>
      </x:c>
      <x:c r="K31" s="8">
        <x:v>80</x:v>
      </x:c>
      <x:c r="L31" s="0" t="s">
        <x:v>24</x:v>
      </x:c>
      <x:c r="M31" s="0" t="s">
        <x:v>25</x:v>
      </x:c>
      <x:c r="N31" s="0" t="s">
        <x:v>26</x:v>
      </x:c>
      <x:c r="P31" s="0" t="s">
        <x:v>27</x:v>
      </x:c>
    </x:row>
    <x:row r="32" spans="1:20">
      <x:c r="A32" s="0">
        <x:v>31</x:v>
      </x:c>
      <x:c r="B32" s="0" t="s">
        <x:v>50</x:v>
      </x:c>
      <x:c r="C32" s="0" t="s">
        <x:v>21</x:v>
      </x:c>
      <x:c r="D32" s="0" t="s">
        <x:v>22</x:v>
      </x:c>
      <x:c r="E32" s="0">
        <x:v>1</x:v>
      </x:c>
      <x:c r="F32" s="0">
        <x:v>3</x:v>
      </x:c>
      <x:c r="G32" s="8">
        <x:v>180</x:v>
      </x:c>
      <x:c r="H32" s="8">
        <x:v>540</x:v>
      </x:c>
      <x:c r="I32" s="0" t="s">
        <x:v>23</x:v>
      </x:c>
      <x:c r="K32" s="8">
        <x:v>540</x:v>
      </x:c>
      <x:c r="L32" s="0" t="s">
        <x:v>24</x:v>
      </x:c>
      <x:c r="M32" s="0" t="s">
        <x:v>25</x:v>
      </x:c>
      <x:c r="N32" s="0" t="s">
        <x:v>26</x:v>
      </x:c>
      <x:c r="P32" s="0" t="s">
        <x:v>27</x:v>
      </x:c>
    </x:row>
    <x:row r="33" spans="1:20">
      <x:c r="A33" s="0">
        <x:v>32</x:v>
      </x:c>
      <x:c r="B33" s="0" t="s">
        <x:v>51</x:v>
      </x:c>
      <x:c r="C33" s="0" t="s">
        <x:v>21</x:v>
      </x:c>
      <x:c r="D33" s="0" t="s">
        <x:v>22</x:v>
      </x:c>
      <x:c r="E33" s="0">
        <x:v>1</x:v>
      </x:c>
      <x:c r="F33" s="0">
        <x:v>1</x:v>
      </x:c>
      <x:c r="G33" s="8">
        <x:v>60</x:v>
      </x:c>
      <x:c r="H33" s="8">
        <x:v>60</x:v>
      </x:c>
      <x:c r="I33" s="0" t="s">
        <x:v>23</x:v>
      </x:c>
      <x:c r="K33" s="8">
        <x:v>60</x:v>
      </x:c>
      <x:c r="L33" s="0" t="s">
        <x:v>24</x:v>
      </x:c>
      <x:c r="M33" s="0" t="s">
        <x:v>25</x:v>
      </x:c>
      <x:c r="N33" s="0" t="s">
        <x:v>26</x:v>
      </x:c>
      <x:c r="P33" s="0" t="s">
        <x:v>27</x:v>
      </x:c>
    </x:row>
    <x:row r="34" spans="1:20">
      <x:c r="A34" s="0">
        <x:v>33</x:v>
      </x:c>
      <x:c r="B34" s="0" t="s">
        <x:v>97</x:v>
      </x:c>
      <x:c r="C34" s="0" t="s">
        <x:v>21</x:v>
      </x:c>
      <x:c r="D34" s="0" t="s">
        <x:v>22</x:v>
      </x:c>
      <x:c r="E34" s="0">
        <x:v>1</x:v>
      </x:c>
      <x:c r="F34" s="0">
        <x:v>1</x:v>
      </x:c>
      <x:c r="G34" s="8">
        <x:v>30</x:v>
      </x:c>
      <x:c r="H34" s="8">
        <x:v>30</x:v>
      </x:c>
      <x:c r="I34" s="0" t="s">
        <x:v>23</x:v>
      </x:c>
      <x:c r="K34" s="8">
        <x:v>30</x:v>
      </x:c>
      <x:c r="L34" s="0" t="s">
        <x:v>24</x:v>
      </x:c>
      <x:c r="M34" s="0" t="s">
        <x:v>25</x:v>
      </x:c>
      <x:c r="N34" s="0" t="s">
        <x:v>26</x:v>
      </x:c>
      <x:c r="P34" s="0" t="s">
        <x:v>27</x:v>
      </x:c>
    </x:row>
    <x:row r="35" spans="1:20">
      <x:c r="A35" s="0">
        <x:v>34</x:v>
      </x:c>
      <x:c r="B35" s="0" t="s">
        <x:v>52</x:v>
      </x:c>
      <x:c r="C35" s="0" t="s">
        <x:v>21</x:v>
      </x:c>
      <x:c r="D35" s="0" t="s">
        <x:v>22</x:v>
      </x:c>
      <x:c r="E35" s="0">
        <x:v>1</x:v>
      </x:c>
      <x:c r="F35" s="0">
        <x:v>1</x:v>
      </x:c>
      <x:c r="G35" s="8">
        <x:v>270</x:v>
      </x:c>
      <x:c r="H35" s="8">
        <x:v>270</x:v>
      </x:c>
      <x:c r="I35" s="0" t="s">
        <x:v>23</x:v>
      </x:c>
      <x:c r="K35" s="8">
        <x:v>270</x:v>
      </x:c>
      <x:c r="L35" s="0" t="s">
        <x:v>24</x:v>
      </x:c>
      <x:c r="M35" s="0" t="s">
        <x:v>25</x:v>
      </x:c>
      <x:c r="N35" s="0" t="s">
        <x:v>26</x:v>
      </x:c>
      <x:c r="P35" s="0" t="s">
        <x:v>27</x:v>
      </x:c>
    </x:row>
    <x:row r="36" spans="1:20">
      <x:c r="A36" s="0">
        <x:v>35</x:v>
      </x:c>
      <x:c r="B36" s="0" t="s">
        <x:v>87</x:v>
      </x:c>
      <x:c r="C36" s="0" t="s">
        <x:v>21</x:v>
      </x:c>
      <x:c r="D36" s="0" t="s">
        <x:v>22</x:v>
      </x:c>
      <x:c r="E36" s="0">
        <x:v>1</x:v>
      </x:c>
      <x:c r="F36" s="0">
        <x:v>1</x:v>
      </x:c>
      <x:c r="G36" s="8">
        <x:v>123</x:v>
      </x:c>
      <x:c r="H36" s="8">
        <x:v>123</x:v>
      </x:c>
      <x:c r="I36" s="0" t="s">
        <x:v>23</x:v>
      </x:c>
      <x:c r="K36" s="8">
        <x:v>123</x:v>
      </x:c>
      <x:c r="L36" s="0" t="s">
        <x:v>24</x:v>
      </x:c>
      <x:c r="M36" s="0" t="s">
        <x:v>25</x:v>
      </x:c>
      <x:c r="N36" s="0" t="s">
        <x:v>26</x:v>
      </x:c>
      <x:c r="P36" s="0" t="s">
        <x:v>27</x:v>
      </x:c>
    </x:row>
    <x:row r="37" spans="1:20">
      <x:c r="A37" s="0">
        <x:v>36</x:v>
      </x:c>
      <x:c r="B37" s="0" t="s">
        <x:v>137</x:v>
      </x:c>
      <x:c r="C37" s="0" t="s">
        <x:v>21</x:v>
      </x:c>
      <x:c r="D37" s="0" t="s">
        <x:v>22</x:v>
      </x:c>
      <x:c r="E37" s="0">
        <x:v>1</x:v>
      </x:c>
      <x:c r="F37" s="0">
        <x:v>1</x:v>
      </x:c>
      <x:c r="G37" s="8">
        <x:v>212.5</x:v>
      </x:c>
      <x:c r="H37" s="8">
        <x:v>212.5</x:v>
      </x:c>
      <x:c r="I37" s="0" t="s">
        <x:v>23</x:v>
      </x:c>
      <x:c r="K37" s="8">
        <x:v>212.5</x:v>
      </x:c>
      <x:c r="L37" s="0" t="s">
        <x:v>24</x:v>
      </x:c>
      <x:c r="M37" s="0" t="s">
        <x:v>25</x:v>
      </x:c>
      <x:c r="N37" s="0" t="s">
        <x:v>26</x:v>
      </x:c>
      <x:c r="P37" s="0" t="s">
        <x:v>27</x:v>
      </x:c>
    </x:row>
    <x:row r="38" spans="1:20">
      <x:c r="A38" s="0">
        <x:v>37</x:v>
      </x:c>
      <x:c r="B38" s="0" t="s">
        <x:v>55</x:v>
      </x:c>
      <x:c r="C38" s="0" t="s">
        <x:v>21</x:v>
      </x:c>
      <x:c r="D38" s="0" t="s">
        <x:v>22</x:v>
      </x:c>
      <x:c r="E38" s="0">
        <x:v>1</x:v>
      </x:c>
      <x:c r="F38" s="0">
        <x:v>3</x:v>
      </x:c>
      <x:c r="G38" s="8">
        <x:v>340.22</x:v>
      </x:c>
      <x:c r="H38" s="8">
        <x:v>1020.67</x:v>
      </x:c>
      <x:c r="I38" s="0" t="s">
        <x:v>23</x:v>
      </x:c>
      <x:c r="K38" s="8">
        <x:v>1020.67</x:v>
      </x:c>
      <x:c r="L38" s="0" t="s">
        <x:v>24</x:v>
      </x:c>
      <x:c r="M38" s="0" t="s">
        <x:v>25</x:v>
      </x:c>
      <x:c r="N38" s="0" t="s">
        <x:v>26</x:v>
      </x:c>
      <x:c r="P38" s="0" t="s">
        <x:v>27</x:v>
      </x:c>
    </x:row>
    <x:row r="39" spans="1:20">
      <x:c r="A39" s="0">
        <x:v>38</x:v>
      </x:c>
      <x:c r="B39" s="0" t="s">
        <x:v>57</x:v>
      </x:c>
      <x:c r="C39" s="0" t="s">
        <x:v>21</x:v>
      </x:c>
      <x:c r="D39" s="0" t="s">
        <x:v>22</x:v>
      </x:c>
      <x:c r="E39" s="0">
        <x:v>1</x:v>
      </x:c>
      <x:c r="F39" s="0">
        <x:v>2</x:v>
      </x:c>
      <x:c r="G39" s="8">
        <x:v>150</x:v>
      </x:c>
      <x:c r="H39" s="8">
        <x:v>300</x:v>
      </x:c>
      <x:c r="I39" s="0" t="s">
        <x:v>23</x:v>
      </x:c>
      <x:c r="K39" s="8">
        <x:v>300</x:v>
      </x:c>
      <x:c r="L39" s="0" t="s">
        <x:v>24</x:v>
      </x:c>
      <x:c r="M39" s="0" t="s">
        <x:v>25</x:v>
      </x:c>
      <x:c r="N39" s="0" t="s">
        <x:v>26</x:v>
      </x:c>
      <x:c r="P39" s="0" t="s">
        <x:v>27</x:v>
      </x:c>
    </x:row>
    <x:row r="40" spans="1:20">
      <x:c r="A40" s="0">
        <x:v>39</x:v>
      </x:c>
      <x:c r="B40" s="0" t="s">
        <x:v>73</x:v>
      </x:c>
      <x:c r="C40" s="0" t="s">
        <x:v>21</x:v>
      </x:c>
      <x:c r="D40" s="0" t="s">
        <x:v>34</x:v>
      </x:c>
      <x:c r="E40" s="0">
        <x:v>1</x:v>
      </x:c>
      <x:c r="F40" s="0">
        <x:v>0.1</x:v>
      </x:c>
      <x:c r="G40" s="8">
        <x:v>3000</x:v>
      </x:c>
      <x:c r="H40" s="8">
        <x:v>300</x:v>
      </x:c>
      <x:c r="I40" s="0" t="s">
        <x:v>23</x:v>
      </x:c>
      <x:c r="K40" s="8">
        <x:v>300</x:v>
      </x:c>
      <x:c r="L40" s="0" t="s">
        <x:v>24</x:v>
      </x:c>
      <x:c r="M40" s="0" t="s">
        <x:v>25</x:v>
      </x:c>
      <x:c r="N40" s="0" t="s">
        <x:v>26</x:v>
      </x:c>
      <x:c r="P40" s="0" t="s">
        <x:v>27</x:v>
      </x:c>
    </x:row>
    <x:row r="41" spans="1:20">
      <x:c r="H41" s="18">
        <x:f>SUM(H2:H40)</x:f>
      </x:c>
    </x:row>
    <x:row r="43" spans="1:20">
      <x:c r="B43" s="19" t="s">
        <x:v>163</x:v>
      </x:c>
      <x:c r="C43" s="20"/>
      <x:c r="D43" s="20"/>
      <x:c r="E43" s="20"/>
      <x:c r="F43" s="20"/>
      <x:c r="G43" s="20"/>
      <x:c r="H43" s="21">
        <x:f>SUM(H44:H46)</x:f>
      </x:c>
      <x:c r="I43" s="22" t="s">
        <x:v>164</x:v>
      </x:c>
    </x:row>
    <x:row r="44" spans="1:20">
      <x:c r="B44" s="21" t="s">
        <x:v>165</x:v>
      </x:c>
      <x:c r="C44" s="21"/>
      <x:c r="D44" s="21"/>
      <x:c r="E44" s="21"/>
      <x:c r="F44" s="20">
        <x:f>F2+F3+F4+F5+F6+F7+F8+F9+F21+F24+F25+F29+F30+F35+F36+F37+F39</x:f>
      </x:c>
      <x:c r="G44" s="20">
        <x:f>G2+G3+G4+G5+G6+G7+G8+G9+G21+G24+G25+G29+G30+G35+G36+G37+G39</x:f>
      </x:c>
      <x:c r="H44" s="20">
        <x:f>H2+H3+H4+H5+H6+H7+H8+H9+H21+H24+H25+H29+H30+H35+H36+H37+H39</x:f>
      </x:c>
      <x:c r="I44" s="15"/>
    </x:row>
    <x:row r="45" spans="1:20">
      <x:c r="B45" s="21" t="s">
        <x:v>166</x:v>
      </x:c>
      <x:c r="C45" s="21"/>
      <x:c r="D45" s="21"/>
      <x:c r="E45" s="21"/>
      <x:c r="F45" s="20">
        <x:f>F19+F20+F34</x:f>
      </x:c>
      <x:c r="G45" s="20">
        <x:f>G19+G20+G34</x:f>
      </x:c>
      <x:c r="H45" s="20">
        <x:f>H19+H20+H34</x:f>
      </x:c>
      <x:c r="I45" s="15"/>
    </x:row>
    <x:row r="46" spans="1:20">
      <x:c r="B46" s="21" t="s">
        <x:v>167</x:v>
      </x:c>
      <x:c r="C46" s="21"/>
      <x:c r="D46" s="21"/>
      <x:c r="E46" s="21"/>
      <x:c r="F46" s="20">
        <x:f>F10+F11+F31+F33</x:f>
      </x:c>
      <x:c r="G46" s="20">
        <x:f>G10+G11+G31+G33</x:f>
      </x:c>
      <x:c r="H46" s="20">
        <x:f>H10+H11+H31+H33</x:f>
      </x:c>
      <x:c r="I46" s="15"/>
    </x:row>
    <x:row r="47" spans="1:20">
      <x:c r="B47" s="19" t="s">
        <x:v>168</x:v>
      </x:c>
      <x:c r="C47" s="20"/>
      <x:c r="D47" s="20"/>
      <x:c r="E47" s="20"/>
      <x:c r="F47" s="20"/>
      <x:c r="G47" s="20"/>
      <x:c r="H47" s="21">
        <x:f>SUM(H48:H54)</x:f>
      </x:c>
      <x:c r="I47" s="22" t="s">
        <x:v>169</x:v>
      </x:c>
    </x:row>
    <x:row r="48" spans="1:20">
      <x:c r="B48" s="21" t="s">
        <x:v>170</x:v>
      </x:c>
      <x:c r="C48" s="21"/>
      <x:c r="D48" s="21"/>
      <x:c r="E48" s="21"/>
      <x:c r="F48" s="20">
        <x:f>F13+F14+F15+F16+F17+F18</x:f>
      </x:c>
      <x:c r="G48" s="20">
        <x:f>G13+G14+G15+G16+G17+G18</x:f>
      </x:c>
      <x:c r="H48" s="20">
        <x:f>H13+H14+H15+H16+H17+H18</x:f>
      </x:c>
      <x:c r="I48" s="15"/>
    </x:row>
    <x:row r="49" spans="1:20">
      <x:c r="B49" s="21" t="s">
        <x:v>171</x:v>
      </x:c>
      <x:c r="C49" s="21"/>
      <x:c r="D49" s="21"/>
      <x:c r="E49" s="21"/>
      <x:c r="F49" s="20">
        <x:f>F22+F23</x:f>
      </x:c>
      <x:c r="G49" s="20">
        <x:f>G22+G23</x:f>
      </x:c>
      <x:c r="H49" s="20">
        <x:f>H22+H23</x:f>
      </x:c>
      <x:c r="I49" s="15"/>
    </x:row>
    <x:row r="50" spans="1:20">
      <x:c r="B50" s="21" t="s">
        <x:v>172</x:v>
      </x:c>
      <x:c r="C50" s="21"/>
      <x:c r="D50" s="21"/>
      <x:c r="E50" s="21"/>
      <x:c r="F50" s="20">
        <x:f>F12</x:f>
      </x:c>
      <x:c r="G50" s="20">
        <x:f>G12</x:f>
      </x:c>
      <x:c r="H50" s="20">
        <x:f>H12</x:f>
      </x:c>
      <x:c r="I50" s="15"/>
    </x:row>
    <x:row r="51" spans="1:20">
      <x:c r="B51" s="21" t="s">
        <x:v>173</x:v>
      </x:c>
      <x:c r="C51" s="21"/>
      <x:c r="D51" s="21"/>
      <x:c r="E51" s="21"/>
      <x:c r="F51" s="20">
        <x:f>F40</x:f>
      </x:c>
      <x:c r="G51" s="20">
        <x:f>G40</x:f>
      </x:c>
      <x:c r="H51" s="20">
        <x:f>H40</x:f>
      </x:c>
      <x:c r="I51" s="15"/>
    </x:row>
    <x:row r="52" spans="1:20">
      <x:c r="B52" s="21" t="s">
        <x:v>174</x:v>
      </x:c>
      <x:c r="C52" s="21"/>
      <x:c r="D52" s="21"/>
      <x:c r="E52" s="21"/>
      <x:c r="F52" s="20"/>
      <x:c r="G52" s="20"/>
      <x:c r="H52" s="20"/>
      <x:c r="I52" s="15"/>
    </x:row>
    <x:row r="53" spans="1:20">
      <x:c r="B53" s="21" t="s">
        <x:v>70</x:v>
      </x:c>
      <x:c r="C53" s="21"/>
      <x:c r="D53" s="21"/>
      <x:c r="E53" s="21"/>
      <x:c r="F53" s="20"/>
      <x:c r="G53" s="20"/>
      <x:c r="H53" s="20"/>
      <x:c r="I53" s="15"/>
    </x:row>
    <x:row r="54" spans="1:20">
      <x:c r="B54" s="21" t="s">
        <x:v>175</x:v>
      </x:c>
      <x:c r="C54" s="21"/>
      <x:c r="D54" s="21"/>
      <x:c r="E54" s="21"/>
      <x:c r="F54" s="20"/>
      <x:c r="G54" s="20"/>
      <x:c r="H54" s="20"/>
      <x:c r="I54" s="15"/>
    </x:row>
    <x:row r="55" spans="1:20">
      <x:c r="B55" s="19" t="s">
        <x:v>176</x:v>
      </x:c>
      <x:c r="C55" s="20"/>
      <x:c r="D55" s="20"/>
      <x:c r="E55" s="20"/>
      <x:c r="F55" s="20"/>
      <x:c r="G55" s="20"/>
      <x:c r="H55" s="21">
        <x:f>SUM(H56:H61)</x:f>
      </x:c>
      <x:c r="I55" s="22" t="s">
        <x:v>177</x:v>
      </x:c>
    </x:row>
    <x:row r="56" spans="1:20">
      <x:c r="B56" s="21" t="s">
        <x:v>178</x:v>
      </x:c>
      <x:c r="C56" s="21"/>
      <x:c r="D56" s="21"/>
      <x:c r="E56" s="21"/>
      <x:c r="F56" s="20"/>
      <x:c r="G56" s="20"/>
      <x:c r="H56" s="20"/>
      <x:c r="I56" s="15"/>
    </x:row>
    <x:row r="57" spans="1:20">
      <x:c r="B57" s="21" t="s">
        <x:v>179</x:v>
      </x:c>
      <x:c r="C57" s="21"/>
      <x:c r="D57" s="21"/>
      <x:c r="E57" s="21"/>
      <x:c r="F57" s="20">
        <x:f>F38</x:f>
      </x:c>
      <x:c r="G57" s="20">
        <x:f>G38</x:f>
      </x:c>
      <x:c r="H57" s="20">
        <x:f>H38</x:f>
      </x:c>
      <x:c r="I57" s="15"/>
    </x:row>
    <x:row r="58" spans="1:20">
      <x:c r="B58" s="21" t="s">
        <x:v>54</x:v>
      </x:c>
      <x:c r="C58" s="21"/>
      <x:c r="D58" s="21"/>
      <x:c r="E58" s="21"/>
      <x:c r="F58" s="20"/>
      <x:c r="G58" s="20"/>
      <x:c r="H58" s="20"/>
      <x:c r="I58" s="15"/>
    </x:row>
    <x:row r="59" spans="1:20">
      <x:c r="B59" s="21" t="s">
        <x:v>180</x:v>
      </x:c>
      <x:c r="C59" s="21"/>
      <x:c r="D59" s="21"/>
      <x:c r="E59" s="21"/>
      <x:c r="F59" s="20">
        <x:f>F26</x:f>
      </x:c>
      <x:c r="G59" s="20">
        <x:f>G26</x:f>
      </x:c>
      <x:c r="H59" s="20">
        <x:f>H26</x:f>
      </x:c>
      <x:c r="I59" s="15"/>
    </x:row>
    <x:row r="60" spans="1:20">
      <x:c r="B60" s="21" t="s">
        <x:v>181</x:v>
      </x:c>
      <x:c r="C60" s="21"/>
      <x:c r="D60" s="21"/>
      <x:c r="E60" s="21"/>
      <x:c r="F60" s="20">
        <x:f>F28+F32</x:f>
      </x:c>
      <x:c r="G60" s="20">
        <x:f>G28+G32</x:f>
      </x:c>
      <x:c r="H60" s="20">
        <x:f>H28+H32</x:f>
      </x:c>
      <x:c r="I60" s="15"/>
    </x:row>
    <x:row r="61" spans="1:20">
      <x:c r="B61" s="21" t="s">
        <x:v>182</x:v>
      </x:c>
      <x:c r="C61" s="21"/>
      <x:c r="D61" s="21"/>
      <x:c r="E61" s="21"/>
      <x:c r="F61" s="20">
        <x:f>F27</x:f>
      </x:c>
      <x:c r="G61" s="20">
        <x:f>G27</x:f>
      </x:c>
      <x:c r="H61" s="20">
        <x:f>H27</x:f>
      </x:c>
      <x:c r="I61" s="15"/>
    </x:row>
    <x:row r="62" spans="1:20">
      <x:c r="B62" s="19" t="s">
        <x:v>183</x:v>
      </x:c>
      <x:c r="C62" s="20"/>
      <x:c r="D62" s="20"/>
      <x:c r="E62" s="20"/>
      <x:c r="F62" s="20"/>
      <x:c r="G62" s="20"/>
      <x:c r="H62" s="21">
        <x:f>SUM(H63:H64)</x:f>
      </x:c>
      <x:c r="I62" s="22"/>
    </x:row>
    <x:row r="63" spans="1:20">
      <x:c r="B63" s="21" t="s">
        <x:v>184</x:v>
      </x:c>
      <x:c r="C63" s="21"/>
      <x:c r="D63" s="21"/>
      <x:c r="E63" s="21"/>
      <x:c r="F63" s="20"/>
      <x:c r="G63" s="20"/>
      <x:c r="H63" s="20"/>
      <x:c r="I63" s="15"/>
    </x:row>
    <x:row r="64" spans="1:20">
      <x:c r="B64" s="21" t="s">
        <x:v>185</x:v>
      </x:c>
      <x:c r="C64" s="21"/>
      <x:c r="D64" s="21"/>
      <x:c r="E64" s="21"/>
      <x:c r="F64" s="20"/>
      <x:c r="G64" s="20"/>
      <x:c r="H64" s="20"/>
      <x:c r="I64" s="15"/>
    </x:row>
    <x:row r="65" spans="1:20">
      <x:c r="B65" s="22"/>
      <x:c r="C65" s="22"/>
      <x:c r="D65" s="22"/>
      <x:c r="E65" s="22"/>
      <x:c r="F65" s="15"/>
      <x:c r="G65" s="15"/>
      <x:c r="H65" s="22">
        <x:f>H43+H47+H55+H62</x:f>
      </x:c>
      <x:c r="I65" s="15"/>
    </x:row>
    <x:row r="66" spans="1:20">
      <x:c r="H66" s="17">
        <x:f>H65 - H41</x:f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683AB81-53DC-2046-B833-9CC275F65A7A}" mc:Ignorable="x14ac xr xr2 xr3">
  <x:sheetPr>
    <x:outlinePr summaryBelow="1" summaryRight="1"/>
  </x:sheetPr>
  <x:dimension ref="A1:T40"/>
  <x:sheetViews>
    <x:sheetView topLeftCell="A38" zoomScale="101" zoomScaleNormal="101" workbookViewId="0">
      <x:selection activeCell="A41" sqref="A41 A41:J68"/>
    </x:sheetView>
  </x:sheetViews>
  <x:sheetFormatPr defaultColWidth="11.210625" defaultRowHeight="15.75"/>
  <x:cols>
    <x:col min="1" max="1" width="11.210625" style="0" customWidth="1"/>
    <x:col min="2" max="2" width="35.875" style="0" customWidth="1"/>
    <x:col min="3" max="3" width="3.125" style="0" customWidth="1"/>
    <x:col min="4" max="4" width="2.625" style="0" customWidth="1"/>
    <x:col min="5" max="5" width="2.375" style="0" customWidth="1"/>
  </x:cols>
  <x:sheetData>
    <x:row r="1" spans="1:2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</x:row>
    <x:row r="2" spans="1:20">
      <x:c r="A2" s="0">
        <x:v>1</x:v>
      </x:c>
      <x:c r="B2" s="0" t="s">
        <x:v>91</x:v>
      </x:c>
      <x:c r="C2" s="0" t="s">
        <x:v>21</x:v>
      </x:c>
      <x:c r="D2" s="0" t="s">
        <x:v>22</x:v>
      </x:c>
      <x:c r="E2" s="0">
        <x:v>1</x:v>
      </x:c>
      <x:c r="F2" s="0">
        <x:v>1</x:v>
      </x:c>
      <x:c r="G2" s="8">
        <x:v>338.78</x:v>
      </x:c>
      <x:c r="H2" s="8">
        <x:v>338.78</x:v>
      </x:c>
      <x:c r="I2" s="0" t="s">
        <x:v>23</x:v>
      </x:c>
      <x:c r="K2" s="8">
        <x:v>338.78</x:v>
      </x:c>
      <x:c r="L2" s="0" t="s">
        <x:v>24</x:v>
      </x:c>
      <x:c r="M2" s="0" t="s">
        <x:v>25</x:v>
      </x:c>
      <x:c r="N2" s="0" t="s">
        <x:v>26</x:v>
      </x:c>
      <x:c r="P2" s="0" t="s">
        <x:v>27</x:v>
      </x:c>
    </x:row>
    <x:row r="3" spans="1:20">
      <x:c r="A3" s="0">
        <x:v>2</x:v>
      </x:c>
      <x:c r="B3" s="0" t="s">
        <x:v>29</x:v>
      </x:c>
      <x:c r="C3" s="0" t="s">
        <x:v>21</x:v>
      </x:c>
      <x:c r="D3" s="0" t="s">
        <x:v>22</x:v>
      </x:c>
      <x:c r="E3" s="0">
        <x:v>1</x:v>
      </x:c>
      <x:c r="F3" s="0">
        <x:v>6</x:v>
      </x:c>
      <x:c r="G3" s="8">
        <x:v>237.5</x:v>
      </x:c>
      <x:c r="H3" s="8">
        <x:v>1425</x:v>
      </x:c>
      <x:c r="I3" s="0" t="s">
        <x:v>23</x:v>
      </x:c>
      <x:c r="K3" s="8">
        <x:v>1425</x:v>
      </x:c>
      <x:c r="L3" s="0" t="s">
        <x:v>24</x:v>
      </x:c>
      <x:c r="M3" s="0" t="s">
        <x:v>25</x:v>
      </x:c>
      <x:c r="N3" s="0" t="s">
        <x:v>26</x:v>
      </x:c>
      <x:c r="P3" s="0" t="s">
        <x:v>27</x:v>
      </x:c>
    </x:row>
    <x:row r="4" spans="1:20">
      <x:c r="A4" s="0">
        <x:v>3</x:v>
      </x:c>
      <x:c r="B4" s="0" t="s">
        <x:v>30</x:v>
      </x:c>
      <x:c r="C4" s="0" t="s">
        <x:v>21</x:v>
      </x:c>
      <x:c r="D4" s="0" t="s">
        <x:v>22</x:v>
      </x:c>
      <x:c r="E4" s="0">
        <x:v>1</x:v>
      </x:c>
      <x:c r="F4" s="0">
        <x:v>8</x:v>
      </x:c>
      <x:c r="G4" s="8">
        <x:v>325.88</x:v>
      </x:c>
      <x:c r="H4" s="8">
        <x:v>2607</x:v>
      </x:c>
      <x:c r="I4" s="0" t="s">
        <x:v>23</x:v>
      </x:c>
      <x:c r="K4" s="8">
        <x:v>2607</x:v>
      </x:c>
      <x:c r="L4" s="0" t="s">
        <x:v>24</x:v>
      </x:c>
      <x:c r="M4" s="0" t="s">
        <x:v>25</x:v>
      </x:c>
      <x:c r="N4" s="0" t="s">
        <x:v>26</x:v>
      </x:c>
      <x:c r="P4" s="0" t="s">
        <x:v>27</x:v>
      </x:c>
    </x:row>
    <x:row r="5" spans="1:20">
      <x:c r="A5" s="0">
        <x:v>4</x:v>
      </x:c>
      <x:c r="B5" s="0" t="s">
        <x:v>31</x:v>
      </x:c>
      <x:c r="C5" s="0" t="s">
        <x:v>21</x:v>
      </x:c>
      <x:c r="D5" s="0" t="s">
        <x:v>22</x:v>
      </x:c>
      <x:c r="E5" s="0">
        <x:v>1</x:v>
      </x:c>
      <x:c r="F5" s="0">
        <x:v>1</x:v>
      </x:c>
      <x:c r="G5" s="8">
        <x:v>100</x:v>
      </x:c>
      <x:c r="H5" s="8">
        <x:v>100</x:v>
      </x:c>
      <x:c r="I5" s="0" t="s">
        <x:v>23</x:v>
      </x:c>
      <x:c r="K5" s="8">
        <x:v>100</x:v>
      </x:c>
      <x:c r="L5" s="0" t="s">
        <x:v>24</x:v>
      </x:c>
      <x:c r="M5" s="0" t="s">
        <x:v>25</x:v>
      </x:c>
      <x:c r="N5" s="0" t="s">
        <x:v>26</x:v>
      </x:c>
      <x:c r="P5" s="0" t="s">
        <x:v>27</x:v>
      </x:c>
    </x:row>
    <x:row r="6" spans="1:20">
      <x:c r="A6" s="0">
        <x:v>5</x:v>
      </x:c>
      <x:c r="B6" s="0" t="s">
        <x:v>32</x:v>
      </x:c>
      <x:c r="C6" s="0" t="s">
        <x:v>21</x:v>
      </x:c>
      <x:c r="D6" s="0" t="s">
        <x:v>22</x:v>
      </x:c>
      <x:c r="E6" s="0">
        <x:v>1</x:v>
      </x:c>
      <x:c r="F6" s="0">
        <x:v>2</x:v>
      </x:c>
      <x:c r="G6" s="8">
        <x:v>68</x:v>
      </x:c>
      <x:c r="H6" s="8">
        <x:v>136</x:v>
      </x:c>
      <x:c r="I6" s="0" t="s">
        <x:v>23</x:v>
      </x:c>
      <x:c r="K6" s="8">
        <x:v>136</x:v>
      </x:c>
      <x:c r="L6" s="0" t="s">
        <x:v>24</x:v>
      </x:c>
      <x:c r="M6" s="0" t="s">
        <x:v>25</x:v>
      </x:c>
      <x:c r="N6" s="0" t="s">
        <x:v>26</x:v>
      </x:c>
      <x:c r="P6" s="0" t="s">
        <x:v>27</x:v>
      </x:c>
    </x:row>
    <x:row r="7" spans="1:20">
      <x:c r="A7" s="0">
        <x:v>6</x:v>
      </x:c>
      <x:c r="B7" s="0" t="s">
        <x:v>62</x:v>
      </x:c>
      <x:c r="C7" s="0" t="s">
        <x:v>21</x:v>
      </x:c>
      <x:c r="D7" s="0" t="s">
        <x:v>34</x:v>
      </x:c>
      <x:c r="E7" s="0">
        <x:v>1</x:v>
      </x:c>
      <x:c r="F7" s="0">
        <x:v>0.563</x:v>
      </x:c>
      <x:c r="G7" s="8">
        <x:v>3180</x:v>
      </x:c>
      <x:c r="H7" s="8">
        <x:v>1790.34</x:v>
      </x:c>
      <x:c r="I7" s="0" t="s">
        <x:v>23</x:v>
      </x:c>
      <x:c r="K7" s="8">
        <x:v>1790.34</x:v>
      </x:c>
      <x:c r="L7" s="0" t="s">
        <x:v>24</x:v>
      </x:c>
      <x:c r="M7" s="0" t="s">
        <x:v>25</x:v>
      </x:c>
      <x:c r="N7" s="0" t="s">
        <x:v>26</x:v>
      </x:c>
      <x:c r="P7" s="0" t="s">
        <x:v>27</x:v>
      </x:c>
    </x:row>
    <x:row r="8" spans="1:20">
      <x:c r="A8" s="0">
        <x:v>7</x:v>
      </x:c>
      <x:c r="B8" s="0" t="s">
        <x:v>77</x:v>
      </x:c>
      <x:c r="C8" s="0" t="s">
        <x:v>21</x:v>
      </x:c>
      <x:c r="D8" s="0" t="s">
        <x:v>34</x:v>
      </x:c>
      <x:c r="E8" s="0">
        <x:v>1</x:v>
      </x:c>
      <x:c r="F8" s="0">
        <x:v>0.705</x:v>
      </x:c>
      <x:c r="G8" s="8">
        <x:v>3862.13</x:v>
      </x:c>
      <x:c r="H8" s="8">
        <x:v>2722.8</x:v>
      </x:c>
      <x:c r="I8" s="0" t="s">
        <x:v>23</x:v>
      </x:c>
      <x:c r="K8" s="8">
        <x:v>2722.8</x:v>
      </x:c>
      <x:c r="L8" s="0" t="s">
        <x:v>24</x:v>
      </x:c>
      <x:c r="M8" s="0" t="s">
        <x:v>25</x:v>
      </x:c>
      <x:c r="N8" s="0" t="s">
        <x:v>26</x:v>
      </x:c>
      <x:c r="P8" s="0" t="s">
        <x:v>27</x:v>
      </x:c>
    </x:row>
    <x:row r="9" spans="1:20">
      <x:c r="A9" s="0">
        <x:v>8</x:v>
      </x:c>
      <x:c r="B9" s="0" t="s">
        <x:v>78</x:v>
      </x:c>
      <x:c r="C9" s="0" t="s">
        <x:v>21</x:v>
      </x:c>
      <x:c r="D9" s="0" t="s">
        <x:v>34</x:v>
      </x:c>
      <x:c r="E9" s="0">
        <x:v>1</x:v>
      </x:c>
      <x:c r="F9" s="0">
        <x:v>0.398</x:v>
      </x:c>
      <x:c r="G9" s="8">
        <x:v>3380</x:v>
      </x:c>
      <x:c r="H9" s="8">
        <x:v>1345.24</x:v>
      </x:c>
      <x:c r="I9" s="0" t="s">
        <x:v>23</x:v>
      </x:c>
      <x:c r="K9" s="8">
        <x:v>1345.24</x:v>
      </x:c>
      <x:c r="L9" s="0" t="s">
        <x:v>24</x:v>
      </x:c>
      <x:c r="M9" s="0" t="s">
        <x:v>25</x:v>
      </x:c>
      <x:c r="N9" s="0" t="s">
        <x:v>26</x:v>
      </x:c>
      <x:c r="P9" s="0" t="s">
        <x:v>27</x:v>
      </x:c>
    </x:row>
    <x:row r="10" spans="1:20">
      <x:c r="A10" s="0">
        <x:v>9</x:v>
      </x:c>
      <x:c r="B10" s="0" t="s">
        <x:v>63</x:v>
      </x:c>
      <x:c r="C10" s="0" t="s">
        <x:v>21</x:v>
      </x:c>
      <x:c r="D10" s="0" t="s">
        <x:v>34</x:v>
      </x:c>
      <x:c r="E10" s="0">
        <x:v>1</x:v>
      </x:c>
      <x:c r="F10" s="0">
        <x:v>0.1</x:v>
      </x:c>
      <x:c r="G10" s="8">
        <x:v>6580</x:v>
      </x:c>
      <x:c r="H10" s="8">
        <x:v>658</x:v>
      </x:c>
      <x:c r="I10" s="0" t="s">
        <x:v>23</x:v>
      </x:c>
      <x:c r="K10" s="8">
        <x:v>658</x:v>
      </x:c>
      <x:c r="L10" s="0" t="s">
        <x:v>24</x:v>
      </x:c>
      <x:c r="M10" s="0" t="s">
        <x:v>25</x:v>
      </x:c>
      <x:c r="N10" s="0" t="s">
        <x:v>26</x:v>
      </x:c>
      <x:c r="P10" s="0" t="s">
        <x:v>27</x:v>
      </x:c>
    </x:row>
    <x:row r="11" spans="1:20">
      <x:c r="A11" s="0">
        <x:v>10</x:v>
      </x:c>
      <x:c r="B11" s="0" t="s">
        <x:v>82</x:v>
      </x:c>
      <x:c r="C11" s="0" t="s">
        <x:v>21</x:v>
      </x:c>
      <x:c r="D11" s="0" t="s">
        <x:v>34</x:v>
      </x:c>
      <x:c r="E11" s="0">
        <x:v>1</x:v>
      </x:c>
      <x:c r="F11" s="0">
        <x:v>0.1</x:v>
      </x:c>
      <x:c r="G11" s="8">
        <x:v>4980</x:v>
      </x:c>
      <x:c r="H11" s="8">
        <x:v>498</x:v>
      </x:c>
      <x:c r="I11" s="0" t="s">
        <x:v>23</x:v>
      </x:c>
      <x:c r="K11" s="8">
        <x:v>498</x:v>
      </x:c>
      <x:c r="L11" s="0" t="s">
        <x:v>24</x:v>
      </x:c>
      <x:c r="M11" s="0" t="s">
        <x:v>25</x:v>
      </x:c>
      <x:c r="N11" s="0" t="s">
        <x:v>26</x:v>
      </x:c>
      <x:c r="P11" s="0" t="s">
        <x:v>27</x:v>
      </x:c>
    </x:row>
    <x:row r="12" spans="1:20">
      <x:c r="A12" s="0">
        <x:v>11</x:v>
      </x:c>
      <x:c r="B12" s="0" t="s">
        <x:v>65</x:v>
      </x:c>
      <x:c r="C12" s="0" t="s">
        <x:v>21</x:v>
      </x:c>
      <x:c r="D12" s="0" t="s">
        <x:v>34</x:v>
      </x:c>
      <x:c r="E12" s="0">
        <x:v>1</x:v>
      </x:c>
      <x:c r="F12" s="0">
        <x:v>0.1</x:v>
      </x:c>
      <x:c r="G12" s="8">
        <x:v>4680</x:v>
      </x:c>
      <x:c r="H12" s="8">
        <x:v>468</x:v>
      </x:c>
      <x:c r="I12" s="0" t="s">
        <x:v>23</x:v>
      </x:c>
      <x:c r="K12" s="8">
        <x:v>468</x:v>
      </x:c>
      <x:c r="L12" s="0" t="s">
        <x:v>24</x:v>
      </x:c>
      <x:c r="M12" s="0" t="s">
        <x:v>25</x:v>
      </x:c>
      <x:c r="N12" s="0" t="s">
        <x:v>26</x:v>
      </x:c>
      <x:c r="P12" s="0" t="s">
        <x:v>27</x:v>
      </x:c>
    </x:row>
    <x:row r="13" spans="1:20">
      <x:c r="A13" s="0">
        <x:v>12</x:v>
      </x:c>
      <x:c r="B13" s="0" t="s">
        <x:v>119</x:v>
      </x:c>
      <x:c r="C13" s="0" t="s">
        <x:v>21</x:v>
      </x:c>
      <x:c r="D13" s="0" t="s">
        <x:v>34</x:v>
      </x:c>
      <x:c r="E13" s="0">
        <x:v>1</x:v>
      </x:c>
      <x:c r="F13" s="0">
        <x:v>0.1</x:v>
      </x:c>
      <x:c r="G13" s="8">
        <x:v>1980</x:v>
      </x:c>
      <x:c r="H13" s="8">
        <x:v>198</x:v>
      </x:c>
      <x:c r="I13" s="0" t="s">
        <x:v>23</x:v>
      </x:c>
      <x:c r="K13" s="8">
        <x:v>198</x:v>
      </x:c>
      <x:c r="L13" s="0" t="s">
        <x:v>24</x:v>
      </x:c>
      <x:c r="M13" s="0" t="s">
        <x:v>25</x:v>
      </x:c>
      <x:c r="N13" s="0" t="s">
        <x:v>26</x:v>
      </x:c>
      <x:c r="P13" s="0" t="s">
        <x:v>27</x:v>
      </x:c>
    </x:row>
    <x:row r="14" spans="1:20">
      <x:c r="A14" s="0">
        <x:v>13</x:v>
      </x:c>
      <x:c r="B14" s="0" t="s">
        <x:v>70</x:v>
      </x:c>
      <x:c r="C14" s="0" t="s">
        <x:v>21</x:v>
      </x:c>
      <x:c r="D14" s="0" t="s">
        <x:v>22</x:v>
      </x:c>
      <x:c r="E14" s="0">
        <x:v>1</x:v>
      </x:c>
      <x:c r="F14" s="0">
        <x:v>3</x:v>
      </x:c>
      <x:c r="G14" s="8">
        <x:v>192.08</x:v>
      </x:c>
      <x:c r="H14" s="8">
        <x:v>576.24</x:v>
      </x:c>
      <x:c r="I14" s="0" t="s">
        <x:v>23</x:v>
      </x:c>
      <x:c r="K14" s="8">
        <x:v>576.24</x:v>
      </x:c>
      <x:c r="L14" s="0" t="s">
        <x:v>24</x:v>
      </x:c>
      <x:c r="M14" s="0" t="s">
        <x:v>25</x:v>
      </x:c>
      <x:c r="N14" s="0" t="s">
        <x:v>26</x:v>
      </x:c>
      <x:c r="P14" s="0" t="s">
        <x:v>27</x:v>
      </x:c>
    </x:row>
    <x:row r="15" spans="1:20">
      <x:c r="A15" s="0">
        <x:v>14</x:v>
      </x:c>
      <x:c r="B15" s="0" t="s">
        <x:v>84</x:v>
      </x:c>
      <x:c r="C15" s="0" t="s">
        <x:v>21</x:v>
      </x:c>
      <x:c r="D15" s="0" t="s">
        <x:v>22</x:v>
      </x:c>
      <x:c r="E15" s="0">
        <x:v>1</x:v>
      </x:c>
      <x:c r="F15" s="0">
        <x:v>1</x:v>
      </x:c>
      <x:c r="G15" s="8">
        <x:v>1000</x:v>
      </x:c>
      <x:c r="H15" s="8">
        <x:v>1000</x:v>
      </x:c>
      <x:c r="I15" s="0" t="s">
        <x:v>23</x:v>
      </x:c>
      <x:c r="K15" s="8">
        <x:v>1000</x:v>
      </x:c>
      <x:c r="L15" s="0" t="s">
        <x:v>24</x:v>
      </x:c>
      <x:c r="M15" s="0" t="s">
        <x:v>25</x:v>
      </x:c>
      <x:c r="N15" s="0" t="s">
        <x:v>26</x:v>
      </x:c>
      <x:c r="P15" s="0" t="s">
        <x:v>27</x:v>
      </x:c>
    </x:row>
    <x:row r="16" spans="1:20">
      <x:c r="A16" s="0">
        <x:v>15</x:v>
      </x:c>
      <x:c r="B16" s="0" t="s">
        <x:v>37</x:v>
      </x:c>
      <x:c r="C16" s="0" t="s">
        <x:v>21</x:v>
      </x:c>
      <x:c r="D16" s="0" t="s">
        <x:v>22</x:v>
      </x:c>
      <x:c r="E16" s="0">
        <x:v>1</x:v>
      </x:c>
      <x:c r="F16" s="0">
        <x:v>2</x:v>
      </x:c>
      <x:c r="G16" s="8">
        <x:v>350</x:v>
      </x:c>
      <x:c r="H16" s="8">
        <x:v>700</x:v>
      </x:c>
      <x:c r="I16" s="0" t="s">
        <x:v>23</x:v>
      </x:c>
      <x:c r="K16" s="8">
        <x:v>700</x:v>
      </x:c>
      <x:c r="L16" s="0" t="s">
        <x:v>24</x:v>
      </x:c>
      <x:c r="M16" s="0" t="s">
        <x:v>25</x:v>
      </x:c>
      <x:c r="N16" s="0" t="s">
        <x:v>26</x:v>
      </x:c>
      <x:c r="P16" s="0" t="s">
        <x:v>27</x:v>
      </x:c>
    </x:row>
    <x:row r="17" spans="1:20">
      <x:c r="A17" s="0">
        <x:v>16</x:v>
      </x:c>
      <x:c r="B17" s="0" t="s">
        <x:v>39</x:v>
      </x:c>
      <x:c r="C17" s="0" t="s">
        <x:v>21</x:v>
      </x:c>
      <x:c r="D17" s="0" t="s">
        <x:v>22</x:v>
      </x:c>
      <x:c r="E17" s="0">
        <x:v>1</x:v>
      </x:c>
      <x:c r="F17" s="0">
        <x:v>2</x:v>
      </x:c>
      <x:c r="G17" s="8">
        <x:v>250</x:v>
      </x:c>
      <x:c r="H17" s="8">
        <x:v>500</x:v>
      </x:c>
      <x:c r="I17" s="0" t="s">
        <x:v>23</x:v>
      </x:c>
      <x:c r="K17" s="8">
        <x:v>500</x:v>
      </x:c>
      <x:c r="L17" s="0" t="s">
        <x:v>24</x:v>
      </x:c>
      <x:c r="M17" s="0" t="s">
        <x:v>25</x:v>
      </x:c>
      <x:c r="N17" s="0" t="s">
        <x:v>26</x:v>
      </x:c>
      <x:c r="P17" s="0" t="s">
        <x:v>27</x:v>
      </x:c>
    </x:row>
    <x:row r="18" spans="1:20">
      <x:c r="A18" s="0">
        <x:v>17</x:v>
      </x:c>
      <x:c r="B18" s="0" t="s">
        <x:v>40</x:v>
      </x:c>
      <x:c r="C18" s="0" t="s">
        <x:v>21</x:v>
      </x:c>
      <x:c r="D18" s="0" t="s">
        <x:v>22</x:v>
      </x:c>
      <x:c r="E18" s="0">
        <x:v>1</x:v>
      </x:c>
      <x:c r="F18" s="0">
        <x:v>2</x:v>
      </x:c>
      <x:c r="G18" s="8">
        <x:v>370</x:v>
      </x:c>
      <x:c r="H18" s="8">
        <x:v>740</x:v>
      </x:c>
      <x:c r="I18" s="0" t="s">
        <x:v>23</x:v>
      </x:c>
      <x:c r="K18" s="8">
        <x:v>740</x:v>
      </x:c>
      <x:c r="L18" s="0" t="s">
        <x:v>24</x:v>
      </x:c>
      <x:c r="M18" s="0" t="s">
        <x:v>25</x:v>
      </x:c>
      <x:c r="N18" s="0" t="s">
        <x:v>26</x:v>
      </x:c>
      <x:c r="P18" s="0" t="s">
        <x:v>27</x:v>
      </x:c>
    </x:row>
    <x:row r="19" spans="1:20">
      <x:c r="A19" s="0">
        <x:v>18</x:v>
      </x:c>
      <x:c r="B19" s="0" t="s">
        <x:v>127</x:v>
      </x:c>
      <x:c r="C19" s="0" t="s">
        <x:v>21</x:v>
      </x:c>
      <x:c r="D19" s="0" t="s">
        <x:v>22</x:v>
      </x:c>
      <x:c r="E19" s="0">
        <x:v>1</x:v>
      </x:c>
      <x:c r="F19" s="0">
        <x:v>2</x:v>
      </x:c>
      <x:c r="G19" s="8">
        <x:v>220</x:v>
      </x:c>
      <x:c r="H19" s="8">
        <x:v>440</x:v>
      </x:c>
      <x:c r="I19" s="0" t="s">
        <x:v>23</x:v>
      </x:c>
      <x:c r="K19" s="8">
        <x:v>440</x:v>
      </x:c>
      <x:c r="L19" s="0" t="s">
        <x:v>24</x:v>
      </x:c>
      <x:c r="M19" s="0" t="s">
        <x:v>25</x:v>
      </x:c>
      <x:c r="N19" s="0" t="s">
        <x:v>26</x:v>
      </x:c>
      <x:c r="P19" s="0" t="s">
        <x:v>27</x:v>
      </x:c>
    </x:row>
    <x:row r="20" spans="1:20">
      <x:c r="A20" s="0">
        <x:v>19</x:v>
      </x:c>
      <x:c r="B20" s="0" t="s">
        <x:v>149</x:v>
      </x:c>
      <x:c r="C20" s="0" t="s">
        <x:v>21</x:v>
      </x:c>
      <x:c r="D20" s="0" t="s">
        <x:v>34</x:v>
      </x:c>
      <x:c r="E20" s="0">
        <x:v>1</x:v>
      </x:c>
      <x:c r="F20" s="0">
        <x:v>0.1</x:v>
      </x:c>
      <x:c r="G20" s="8">
        <x:v>2550</x:v>
      </x:c>
      <x:c r="H20" s="8">
        <x:v>255</x:v>
      </x:c>
      <x:c r="I20" s="0" t="s">
        <x:v>23</x:v>
      </x:c>
      <x:c r="K20" s="8">
        <x:v>255</x:v>
      </x:c>
      <x:c r="L20" s="0" t="s">
        <x:v>24</x:v>
      </x:c>
      <x:c r="M20" s="0" t="s">
        <x:v>25</x:v>
      </x:c>
      <x:c r="N20" s="0" t="s">
        <x:v>26</x:v>
      </x:c>
      <x:c r="P20" s="0" t="s">
        <x:v>27</x:v>
      </x:c>
    </x:row>
    <x:row r="21" spans="1:20">
      <x:c r="A21" s="0">
        <x:v>20</x:v>
      </x:c>
      <x:c r="B21" s="0" t="s">
        <x:v>44</x:v>
      </x:c>
      <x:c r="C21" s="0" t="s">
        <x:v>21</x:v>
      </x:c>
      <x:c r="D21" s="0" t="s">
        <x:v>22</x:v>
      </x:c>
      <x:c r="E21" s="0">
        <x:v>1</x:v>
      </x:c>
      <x:c r="F21" s="0">
        <x:v>3</x:v>
      </x:c>
      <x:c r="G21" s="8">
        <x:v>85</x:v>
      </x:c>
      <x:c r="H21" s="8">
        <x:v>255</x:v>
      </x:c>
      <x:c r="I21" s="0" t="s">
        <x:v>23</x:v>
      </x:c>
      <x:c r="K21" s="8">
        <x:v>255</x:v>
      </x:c>
      <x:c r="L21" s="0" t="s">
        <x:v>24</x:v>
      </x:c>
      <x:c r="M21" s="0" t="s">
        <x:v>25</x:v>
      </x:c>
      <x:c r="N21" s="0" t="s">
        <x:v>26</x:v>
      </x:c>
      <x:c r="P21" s="0" t="s">
        <x:v>27</x:v>
      </x:c>
    </x:row>
    <x:row r="22" spans="1:20">
      <x:c r="A22" s="0">
        <x:v>21</x:v>
      </x:c>
      <x:c r="B22" s="0" t="s">
        <x:v>45</x:v>
      </x:c>
      <x:c r="C22" s="0" t="s">
        <x:v>21</x:v>
      </x:c>
      <x:c r="D22" s="0" t="s">
        <x:v>22</x:v>
      </x:c>
      <x:c r="E22" s="0">
        <x:v>1</x:v>
      </x:c>
      <x:c r="F22" s="0">
        <x:v>3</x:v>
      </x:c>
      <x:c r="G22" s="8">
        <x:v>99</x:v>
      </x:c>
      <x:c r="H22" s="8">
        <x:v>297</x:v>
      </x:c>
      <x:c r="I22" s="0" t="s">
        <x:v>23</x:v>
      </x:c>
      <x:c r="K22" s="8">
        <x:v>297</x:v>
      </x:c>
      <x:c r="L22" s="0" t="s">
        <x:v>24</x:v>
      </x:c>
      <x:c r="M22" s="0" t="s">
        <x:v>25</x:v>
      </x:c>
      <x:c r="N22" s="0" t="s">
        <x:v>26</x:v>
      </x:c>
      <x:c r="P22" s="0" t="s">
        <x:v>27</x:v>
      </x:c>
    </x:row>
    <x:row r="23" spans="1:20">
      <x:c r="A23" s="0">
        <x:v>22</x:v>
      </x:c>
      <x:c r="B23" s="0" t="s">
        <x:v>47</x:v>
      </x:c>
      <x:c r="C23" s="0" t="s">
        <x:v>21</x:v>
      </x:c>
      <x:c r="D23" s="0" t="s">
        <x:v>22</x:v>
      </x:c>
      <x:c r="E23" s="0">
        <x:v>1</x:v>
      </x:c>
      <x:c r="F23" s="0">
        <x:v>2</x:v>
      </x:c>
      <x:c r="G23" s="8">
        <x:v>266.3</x:v>
      </x:c>
      <x:c r="H23" s="8">
        <x:v>532.6</x:v>
      </x:c>
      <x:c r="I23" s="0" t="s">
        <x:v>23</x:v>
      </x:c>
      <x:c r="K23" s="8">
        <x:v>532.6</x:v>
      </x:c>
      <x:c r="L23" s="0" t="s">
        <x:v>24</x:v>
      </x:c>
      <x:c r="M23" s="0" t="s">
        <x:v>25</x:v>
      </x:c>
      <x:c r="N23" s="0" t="s">
        <x:v>26</x:v>
      </x:c>
      <x:c r="P23" s="0" t="s">
        <x:v>27</x:v>
      </x:c>
    </x:row>
    <x:row r="24" spans="1:20">
      <x:c r="A24" s="0">
        <x:v>23</x:v>
      </x:c>
      <x:c r="B24" s="0" t="s">
        <x:v>104</x:v>
      </x:c>
      <x:c r="C24" s="0" t="s">
        <x:v>21</x:v>
      </x:c>
      <x:c r="D24" s="0" t="s">
        <x:v>34</x:v>
      </x:c>
      <x:c r="E24" s="0">
        <x:v>1</x:v>
      </x:c>
      <x:c r="F24" s="0">
        <x:v>0.05</x:v>
      </x:c>
      <x:c r="G24" s="8">
        <x:v>3400</x:v>
      </x:c>
      <x:c r="H24" s="8">
        <x:v>170</x:v>
      </x:c>
      <x:c r="I24" s="0" t="s">
        <x:v>23</x:v>
      </x:c>
      <x:c r="K24" s="8">
        <x:v>170</x:v>
      </x:c>
      <x:c r="L24" s="0" t="s">
        <x:v>24</x:v>
      </x:c>
      <x:c r="M24" s="0" t="s">
        <x:v>25</x:v>
      </x:c>
      <x:c r="N24" s="0" t="s">
        <x:v>26</x:v>
      </x:c>
      <x:c r="P24" s="0" t="s">
        <x:v>27</x:v>
      </x:c>
    </x:row>
    <x:row r="25" spans="1:20">
      <x:c r="A25" s="0">
        <x:v>24</x:v>
      </x:c>
      <x:c r="B25" s="0" t="s">
        <x:v>95</x:v>
      </x:c>
      <x:c r="C25" s="0" t="s">
        <x:v>21</x:v>
      </x:c>
      <x:c r="D25" s="0" t="s">
        <x:v>22</x:v>
      </x:c>
      <x:c r="E25" s="0">
        <x:v>1</x:v>
      </x:c>
      <x:c r="F25" s="0">
        <x:v>1</x:v>
      </x:c>
      <x:c r="G25" s="8">
        <x:v>300</x:v>
      </x:c>
      <x:c r="H25" s="8">
        <x:v>300</x:v>
      </x:c>
      <x:c r="I25" s="0" t="s">
        <x:v>23</x:v>
      </x:c>
      <x:c r="K25" s="8">
        <x:v>300</x:v>
      </x:c>
      <x:c r="L25" s="0" t="s">
        <x:v>24</x:v>
      </x:c>
      <x:c r="M25" s="0" t="s">
        <x:v>25</x:v>
      </x:c>
      <x:c r="N25" s="0" t="s">
        <x:v>26</x:v>
      </x:c>
      <x:c r="P25" s="0" t="s">
        <x:v>27</x:v>
      </x:c>
    </x:row>
    <x:row r="26" spans="1:20">
      <x:c r="A26" s="0">
        <x:v>25</x:v>
      </x:c>
      <x:c r="B26" s="0" t="s">
        <x:v>144</x:v>
      </x:c>
      <x:c r="C26" s="0" t="s">
        <x:v>21</x:v>
      </x:c>
      <x:c r="D26" s="0" t="s">
        <x:v>22</x:v>
      </x:c>
      <x:c r="E26" s="0">
        <x:v>1</x:v>
      </x:c>
      <x:c r="F26" s="0">
        <x:v>1</x:v>
      </x:c>
      <x:c r="G26" s="8">
        <x:v>15</x:v>
      </x:c>
      <x:c r="H26" s="8">
        <x:v>15</x:v>
      </x:c>
      <x:c r="I26" s="0" t="s">
        <x:v>23</x:v>
      </x:c>
      <x:c r="K26" s="8">
        <x:v>15</x:v>
      </x:c>
      <x:c r="L26" s="0" t="s">
        <x:v>24</x:v>
      </x:c>
      <x:c r="M26" s="0" t="s">
        <x:v>25</x:v>
      </x:c>
      <x:c r="N26" s="0" t="s">
        <x:v>26</x:v>
      </x:c>
      <x:c r="P26" s="0" t="s">
        <x:v>27</x:v>
      </x:c>
    </x:row>
    <x:row r="27" spans="1:20">
      <x:c r="A27" s="0">
        <x:v>26</x:v>
      </x:c>
      <x:c r="B27" s="0" t="s">
        <x:v>96</x:v>
      </x:c>
      <x:c r="C27" s="0" t="s">
        <x:v>21</x:v>
      </x:c>
      <x:c r="D27" s="0" t="s">
        <x:v>34</x:v>
      </x:c>
      <x:c r="E27" s="0">
        <x:v>1</x:v>
      </x:c>
      <x:c r="F27" s="0">
        <x:v>0.1</x:v>
      </x:c>
      <x:c r="G27" s="8">
        <x:v>3043</x:v>
      </x:c>
      <x:c r="H27" s="8">
        <x:v>304.3</x:v>
      </x:c>
      <x:c r="I27" s="0" t="s">
        <x:v>23</x:v>
      </x:c>
      <x:c r="K27" s="8">
        <x:v>304.3</x:v>
      </x:c>
      <x:c r="L27" s="0" t="s">
        <x:v>24</x:v>
      </x:c>
      <x:c r="M27" s="0" t="s">
        <x:v>25</x:v>
      </x:c>
      <x:c r="N27" s="0" t="s">
        <x:v>26</x:v>
      </x:c>
      <x:c r="P27" s="0" t="s">
        <x:v>27</x:v>
      </x:c>
    </x:row>
    <x:row r="28" spans="1:20">
      <x:c r="A28" s="0">
        <x:v>27</x:v>
      </x:c>
      <x:c r="B28" s="0" t="s">
        <x:v>50</x:v>
      </x:c>
      <x:c r="C28" s="0" t="s">
        <x:v>21</x:v>
      </x:c>
      <x:c r="D28" s="0" t="s">
        <x:v>22</x:v>
      </x:c>
      <x:c r="E28" s="0">
        <x:v>1</x:v>
      </x:c>
      <x:c r="F28" s="0">
        <x:v>1</x:v>
      </x:c>
      <x:c r="G28" s="8">
        <x:v>174.22</x:v>
      </x:c>
      <x:c r="H28" s="8">
        <x:v>174.22</x:v>
      </x:c>
      <x:c r="I28" s="0" t="s">
        <x:v>23</x:v>
      </x:c>
      <x:c r="K28" s="8">
        <x:v>174.22</x:v>
      </x:c>
      <x:c r="L28" s="0" t="s">
        <x:v>24</x:v>
      </x:c>
      <x:c r="M28" s="0" t="s">
        <x:v>25</x:v>
      </x:c>
      <x:c r="N28" s="0" t="s">
        <x:v>26</x:v>
      </x:c>
      <x:c r="P28" s="0" t="s">
        <x:v>27</x:v>
      </x:c>
    </x:row>
    <x:row r="29" spans="1:20">
      <x:c r="A29" s="0">
        <x:v>28</x:v>
      </x:c>
      <x:c r="B29" s="0" t="s">
        <x:v>51</x:v>
      </x:c>
      <x:c r="C29" s="0" t="s">
        <x:v>21</x:v>
      </x:c>
      <x:c r="D29" s="0" t="s">
        <x:v>22</x:v>
      </x:c>
      <x:c r="E29" s="0">
        <x:v>1</x:v>
      </x:c>
      <x:c r="F29" s="0">
        <x:v>6</x:v>
      </x:c>
      <x:c r="G29" s="8">
        <x:v>57.28</x:v>
      </x:c>
      <x:c r="H29" s="8">
        <x:v>343.65</x:v>
      </x:c>
      <x:c r="I29" s="0" t="s">
        <x:v>23</x:v>
      </x:c>
      <x:c r="K29" s="8">
        <x:v>343.65</x:v>
      </x:c>
      <x:c r="L29" s="0" t="s">
        <x:v>24</x:v>
      </x:c>
      <x:c r="M29" s="0" t="s">
        <x:v>25</x:v>
      </x:c>
      <x:c r="N29" s="0" t="s">
        <x:v>26</x:v>
      </x:c>
      <x:c r="P29" s="0" t="s">
        <x:v>27</x:v>
      </x:c>
    </x:row>
    <x:row r="30" spans="1:20">
      <x:c r="A30" s="0">
        <x:v>29</x:v>
      </x:c>
      <x:c r="B30" s="0" t="s">
        <x:v>52</x:v>
      </x:c>
      <x:c r="C30" s="0" t="s">
        <x:v>21</x:v>
      </x:c>
      <x:c r="D30" s="0" t="s">
        <x:v>22</x:v>
      </x:c>
      <x:c r="E30" s="0">
        <x:v>1</x:v>
      </x:c>
      <x:c r="F30" s="0">
        <x:v>5</x:v>
      </x:c>
      <x:c r="G30" s="8">
        <x:v>173.53</x:v>
      </x:c>
      <x:c r="H30" s="8">
        <x:v>867.63</x:v>
      </x:c>
      <x:c r="I30" s="0" t="s">
        <x:v>23</x:v>
      </x:c>
      <x:c r="K30" s="8">
        <x:v>867.63</x:v>
      </x:c>
      <x:c r="L30" s="0" t="s">
        <x:v>24</x:v>
      </x:c>
      <x:c r="M30" s="0" t="s">
        <x:v>25</x:v>
      </x:c>
      <x:c r="N30" s="0" t="s">
        <x:v>26</x:v>
      </x:c>
      <x:c r="P30" s="0" t="s">
        <x:v>27</x:v>
      </x:c>
    </x:row>
    <x:row r="31" spans="1:20">
      <x:c r="A31" s="0">
        <x:v>30</x:v>
      </x:c>
      <x:c r="B31" s="0" t="s">
        <x:v>137</x:v>
      </x:c>
      <x:c r="C31" s="0" t="s">
        <x:v>21</x:v>
      </x:c>
      <x:c r="D31" s="0" t="s">
        <x:v>22</x:v>
      </x:c>
      <x:c r="E31" s="0">
        <x:v>1</x:v>
      </x:c>
      <x:c r="F31" s="0">
        <x:v>1</x:v>
      </x:c>
      <x:c r="G31" s="8">
        <x:v>250</x:v>
      </x:c>
      <x:c r="H31" s="8">
        <x:v>250</x:v>
      </x:c>
      <x:c r="I31" s="0" t="s">
        <x:v>23</x:v>
      </x:c>
      <x:c r="K31" s="8">
        <x:v>250</x:v>
      </x:c>
      <x:c r="L31" s="0" t="s">
        <x:v>24</x:v>
      </x:c>
      <x:c r="M31" s="0" t="s">
        <x:v>25</x:v>
      </x:c>
      <x:c r="N31" s="0" t="s">
        <x:v>26</x:v>
      </x:c>
      <x:c r="P31" s="0" t="s">
        <x:v>27</x:v>
      </x:c>
    </x:row>
    <x:row r="32" spans="1:20">
      <x:c r="A32" s="0">
        <x:v>31</x:v>
      </x:c>
      <x:c r="B32" s="0" t="s">
        <x:v>53</x:v>
      </x:c>
      <x:c r="C32" s="0" t="s">
        <x:v>21</x:v>
      </x:c>
      <x:c r="D32" s="0" t="s">
        <x:v>22</x:v>
      </x:c>
      <x:c r="E32" s="0">
        <x:v>1</x:v>
      </x:c>
      <x:c r="F32" s="0">
        <x:v>1</x:v>
      </x:c>
      <x:c r="G32" s="8">
        <x:v>20.24</x:v>
      </x:c>
      <x:c r="H32" s="8">
        <x:v>20.24</x:v>
      </x:c>
      <x:c r="I32" s="0" t="s">
        <x:v>23</x:v>
      </x:c>
      <x:c r="K32" s="8">
        <x:v>20.24</x:v>
      </x:c>
      <x:c r="L32" s="0" t="s">
        <x:v>24</x:v>
      </x:c>
      <x:c r="M32" s="0" t="s">
        <x:v>25</x:v>
      </x:c>
      <x:c r="N32" s="0" t="s">
        <x:v>26</x:v>
      </x:c>
      <x:c r="P32" s="0" t="s">
        <x:v>27</x:v>
      </x:c>
    </x:row>
    <x:row r="33" spans="1:20">
      <x:c r="A33" s="0">
        <x:v>32</x:v>
      </x:c>
      <x:c r="B33" s="0" t="s">
        <x:v>54</x:v>
      </x:c>
      <x:c r="C33" s="0" t="s">
        <x:v>21</x:v>
      </x:c>
      <x:c r="D33" s="0" t="s">
        <x:v>22</x:v>
      </x:c>
      <x:c r="E33" s="0">
        <x:v>1</x:v>
      </x:c>
      <x:c r="F33" s="0">
        <x:v>1</x:v>
      </x:c>
      <x:c r="G33" s="8">
        <x:v>230</x:v>
      </x:c>
      <x:c r="H33" s="8">
        <x:v>230</x:v>
      </x:c>
      <x:c r="I33" s="0" t="s">
        <x:v>23</x:v>
      </x:c>
      <x:c r="K33" s="8">
        <x:v>230</x:v>
      </x:c>
      <x:c r="L33" s="0" t="s">
        <x:v>24</x:v>
      </x:c>
      <x:c r="M33" s="0" t="s">
        <x:v>25</x:v>
      </x:c>
      <x:c r="N33" s="0" t="s">
        <x:v>26</x:v>
      </x:c>
      <x:c r="P33" s="0" t="s">
        <x:v>27</x:v>
      </x:c>
    </x:row>
    <x:row r="34" spans="1:20">
      <x:c r="A34" s="0">
        <x:v>33</x:v>
      </x:c>
      <x:c r="B34" s="0" t="s">
        <x:v>55</x:v>
      </x:c>
      <x:c r="C34" s="0" t="s">
        <x:v>21</x:v>
      </x:c>
      <x:c r="D34" s="0" t="s">
        <x:v>22</x:v>
      </x:c>
      <x:c r="E34" s="0">
        <x:v>1</x:v>
      </x:c>
      <x:c r="F34" s="0">
        <x:v>5</x:v>
      </x:c>
      <x:c r="G34" s="8">
        <x:v>294.43</x:v>
      </x:c>
      <x:c r="H34" s="8">
        <x:v>1472.14</x:v>
      </x:c>
      <x:c r="I34" s="0" t="s">
        <x:v>23</x:v>
      </x:c>
      <x:c r="K34" s="8">
        <x:v>1472.14</x:v>
      </x:c>
      <x:c r="L34" s="0" t="s">
        <x:v>24</x:v>
      </x:c>
      <x:c r="M34" s="0" t="s">
        <x:v>25</x:v>
      </x:c>
      <x:c r="N34" s="0" t="s">
        <x:v>26</x:v>
      </x:c>
      <x:c r="P34" s="0" t="s">
        <x:v>27</x:v>
      </x:c>
    </x:row>
    <x:row r="35" spans="1:20">
      <x:c r="A35" s="0">
        <x:v>34</x:v>
      </x:c>
      <x:c r="B35" s="0" t="s">
        <x:v>56</x:v>
      </x:c>
      <x:c r="C35" s="0" t="s">
        <x:v>21</x:v>
      </x:c>
      <x:c r="D35" s="0" t="s">
        <x:v>22</x:v>
      </x:c>
      <x:c r="E35" s="0">
        <x:v>1</x:v>
      </x:c>
      <x:c r="F35" s="0">
        <x:v>1</x:v>
      </x:c>
      <x:c r="G35" s="8">
        <x:v>350</x:v>
      </x:c>
      <x:c r="H35" s="8">
        <x:v>350</x:v>
      </x:c>
      <x:c r="I35" s="0" t="s">
        <x:v>23</x:v>
      </x:c>
      <x:c r="K35" s="8">
        <x:v>350</x:v>
      </x:c>
      <x:c r="L35" s="0" t="s">
        <x:v>24</x:v>
      </x:c>
      <x:c r="M35" s="0" t="s">
        <x:v>25</x:v>
      </x:c>
      <x:c r="N35" s="0" t="s">
        <x:v>26</x:v>
      </x:c>
      <x:c r="P35" s="0" t="s">
        <x:v>27</x:v>
      </x:c>
    </x:row>
    <x:row r="36" spans="1:20">
      <x:c r="A36" s="0">
        <x:v>35</x:v>
      </x:c>
      <x:c r="B36" s="0" t="s">
        <x:v>57</x:v>
      </x:c>
      <x:c r="C36" s="0" t="s">
        <x:v>21</x:v>
      </x:c>
      <x:c r="D36" s="0" t="s">
        <x:v>22</x:v>
      </x:c>
      <x:c r="E36" s="0">
        <x:v>1</x:v>
      </x:c>
      <x:c r="F36" s="0">
        <x:v>3</x:v>
      </x:c>
      <x:c r="G36" s="8">
        <x:v>137.5</x:v>
      </x:c>
      <x:c r="H36" s="8">
        <x:v>412.5</x:v>
      </x:c>
      <x:c r="I36" s="0" t="s">
        <x:v>23</x:v>
      </x:c>
      <x:c r="K36" s="8">
        <x:v>412.5</x:v>
      </x:c>
      <x:c r="L36" s="0" t="s">
        <x:v>24</x:v>
      </x:c>
      <x:c r="M36" s="0" t="s">
        <x:v>25</x:v>
      </x:c>
      <x:c r="N36" s="0" t="s">
        <x:v>26</x:v>
      </x:c>
      <x:c r="P36" s="0" t="s">
        <x:v>27</x:v>
      </x:c>
    </x:row>
    <x:row r="37" spans="1:20">
      <x:c r="A37" s="0">
        <x:v>36</x:v>
      </x:c>
      <x:c r="B37" s="0" t="s">
        <x:v>58</x:v>
      </x:c>
      <x:c r="C37" s="0" t="s">
        <x:v>21</x:v>
      </x:c>
      <x:c r="D37" s="0" t="s">
        <x:v>22</x:v>
      </x:c>
      <x:c r="E37" s="0">
        <x:v>1</x:v>
      </x:c>
      <x:c r="F37" s="0">
        <x:v>1</x:v>
      </x:c>
      <x:c r="G37" s="8">
        <x:v>280</x:v>
      </x:c>
      <x:c r="H37" s="8">
        <x:v>280</x:v>
      </x:c>
      <x:c r="I37" s="0" t="s">
        <x:v>23</x:v>
      </x:c>
      <x:c r="K37" s="8">
        <x:v>280</x:v>
      </x:c>
      <x:c r="L37" s="0" t="s">
        <x:v>24</x:v>
      </x:c>
      <x:c r="M37" s="0" t="s">
        <x:v>25</x:v>
      </x:c>
      <x:c r="N37" s="0" t="s">
        <x:v>26</x:v>
      </x:c>
      <x:c r="P37" s="0" t="s">
        <x:v>27</x:v>
      </x:c>
    </x:row>
    <x:row r="38" spans="1:20">
      <x:c r="A38" s="0">
        <x:v>37</x:v>
      </x:c>
      <x:c r="B38" s="0" t="s">
        <x:v>116</x:v>
      </x:c>
      <x:c r="C38" s="0" t="s">
        <x:v>21</x:v>
      </x:c>
      <x:c r="D38" s="0" t="s">
        <x:v>22</x:v>
      </x:c>
      <x:c r="E38" s="0">
        <x:v>1</x:v>
      </x:c>
      <x:c r="F38" s="0">
        <x:v>1</x:v>
      </x:c>
      <x:c r="G38" s="8">
        <x:v>580</x:v>
      </x:c>
      <x:c r="H38" s="8">
        <x:v>580</x:v>
      </x:c>
      <x:c r="I38" s="0" t="s">
        <x:v>23</x:v>
      </x:c>
      <x:c r="K38" s="8">
        <x:v>580</x:v>
      </x:c>
      <x:c r="L38" s="0" t="s">
        <x:v>24</x:v>
      </x:c>
      <x:c r="M38" s="0" t="s">
        <x:v>25</x:v>
      </x:c>
      <x:c r="N38" s="0" t="s">
        <x:v>26</x:v>
      </x:c>
      <x:c r="P38" s="0" t="s">
        <x:v>27</x:v>
      </x:c>
    </x:row>
    <x:row r="39" spans="1:20">
      <x:c r="A39" s="0">
        <x:v>38</x:v>
      </x:c>
      <x:c r="B39" s="0" t="s">
        <x:v>60</x:v>
      </x:c>
      <x:c r="C39" s="0" t="s">
        <x:v>21</x:v>
      </x:c>
      <x:c r="D39" s="0" t="s">
        <x:v>22</x:v>
      </x:c>
      <x:c r="E39" s="0">
        <x:v>1</x:v>
      </x:c>
      <x:c r="F39" s="0">
        <x:v>2</x:v>
      </x:c>
      <x:c r="G39" s="8">
        <x:v>147.5</x:v>
      </x:c>
      <x:c r="H39" s="8">
        <x:v>295</x:v>
      </x:c>
      <x:c r="I39" s="0" t="s">
        <x:v>23</x:v>
      </x:c>
      <x:c r="K39" s="8">
        <x:v>295</x:v>
      </x:c>
      <x:c r="L39" s="0" t="s">
        <x:v>24</x:v>
      </x:c>
      <x:c r="M39" s="0" t="s">
        <x:v>25</x:v>
      </x:c>
      <x:c r="N39" s="0" t="s">
        <x:v>26</x:v>
      </x:c>
      <x:c r="P39" s="0" t="s">
        <x:v>27</x:v>
      </x:c>
    </x:row>
    <x:row r="40" spans="1:20">
      <x:c r="A40" s="0">
        <x:v>39</x:v>
      </x:c>
      <x:c r="B40" s="0" t="s">
        <x:v>90</x:v>
      </x:c>
      <x:c r="C40" s="0" t="s">
        <x:v>21</x:v>
      </x:c>
      <x:c r="D40" s="0" t="s">
        <x:v>22</x:v>
      </x:c>
      <x:c r="E40" s="0">
        <x:v>1</x:v>
      </x:c>
      <x:c r="F40" s="0">
        <x:v>1</x:v>
      </x:c>
      <x:c r="G40" s="8">
        <x:v>45</x:v>
      </x:c>
      <x:c r="H40" s="8">
        <x:v>45</x:v>
      </x:c>
      <x:c r="I40" s="0" t="s">
        <x:v>23</x:v>
      </x:c>
      <x:c r="K40" s="8">
        <x:v>45</x:v>
      </x:c>
      <x:c r="L40" s="0" t="s">
        <x:v>24</x:v>
      </x:c>
      <x:c r="M40" s="0" t="s">
        <x:v>25</x:v>
      </x:c>
      <x:c r="N40" s="0" t="s">
        <x:v>26</x:v>
      </x:c>
      <x:c r="P40" s="0" t="s">
        <x:v>27</x:v>
      </x:c>
    </x:row>
    <x:row r="41" spans="1:20">
      <x:c r="H41" s="18">
        <x:f>SUM(H2:H40)</x:f>
      </x:c>
    </x:row>
    <x:row r="43" spans="1:20">
      <x:c r="B43" s="19" t="s">
        <x:v>163</x:v>
      </x:c>
      <x:c r="C43" s="20"/>
      <x:c r="D43" s="20"/>
      <x:c r="E43" s="20"/>
      <x:c r="F43" s="20"/>
      <x:c r="G43" s="20"/>
      <x:c r="H43" s="21">
        <x:f>SUM(H44:H46)</x:f>
      </x:c>
      <x:c r="I43" s="22" t="s">
        <x:v>164</x:v>
      </x:c>
    </x:row>
    <x:row r="44" spans="1:20">
      <x:c r="B44" s="21" t="s">
        <x:v>165</x:v>
      </x:c>
      <x:c r="C44" s="21"/>
      <x:c r="D44" s="21"/>
      <x:c r="E44" s="21"/>
      <x:c r="F44" s="20">
        <x:f>F2+F3+F4+F14+F16+F17+F18+F23+F25+F30+F31+F36+F37+F39</x:f>
      </x:c>
      <x:c r="G44" s="20">
        <x:f>G2+G3+G4+G14+G16+G17+G18+G23+G25+G30+G31+G36+G37+G39</x:f>
      </x:c>
      <x:c r="H44" s="20">
        <x:f>H2+H3+H4+H14+H16+H17+H18+H23+H25+H30+H31+H36+H37+H39</x:f>
      </x:c>
      <x:c r="I44" s="15"/>
    </x:row>
    <x:row r="45" spans="1:20">
      <x:c r="B45" s="21" t="s">
        <x:v>166</x:v>
      </x:c>
      <x:c r="C45" s="21"/>
      <x:c r="D45" s="21"/>
      <x:c r="E45" s="21"/>
      <x:c r="F45" s="20">
        <x:f>F26+F40</x:f>
      </x:c>
      <x:c r="G45" s="20">
        <x:f>G26+G40</x:f>
      </x:c>
      <x:c r="H45" s="20">
        <x:f>H26+H40</x:f>
      </x:c>
      <x:c r="I45" s="15"/>
    </x:row>
    <x:row r="46" spans="1:20">
      <x:c r="B46" s="21" t="s">
        <x:v>167</x:v>
      </x:c>
      <x:c r="C46" s="21"/>
      <x:c r="D46" s="21"/>
      <x:c r="E46" s="21"/>
      <x:c r="F46" s="20">
        <x:f>F5+F29+F32</x:f>
      </x:c>
      <x:c r="G46" s="20">
        <x:f>G5+G29+G32</x:f>
      </x:c>
      <x:c r="H46" s="20">
        <x:f>H5+H29+H32</x:f>
      </x:c>
      <x:c r="I46" s="15"/>
    </x:row>
    <x:row r="47" spans="1:20">
      <x:c r="B47" s="19" t="s">
        <x:v>168</x:v>
      </x:c>
      <x:c r="C47" s="20"/>
      <x:c r="D47" s="20"/>
      <x:c r="E47" s="20"/>
      <x:c r="F47" s="20"/>
      <x:c r="G47" s="20"/>
      <x:c r="H47" s="21">
        <x:f>SUM(H48:H54)</x:f>
      </x:c>
      <x:c r="I47" s="22" t="s">
        <x:v>169</x:v>
      </x:c>
    </x:row>
    <x:row r="48" spans="1:20">
      <x:c r="B48" s="21" t="s">
        <x:v>170</x:v>
      </x:c>
      <x:c r="C48" s="21"/>
      <x:c r="D48" s="21"/>
      <x:c r="E48" s="21"/>
      <x:c r="F48" s="20">
        <x:f>F7+F8+F9+F10+F11+F12+F13</x:f>
      </x:c>
      <x:c r="G48" s="20">
        <x:f>G7+G8+G9+G10+G11+G12+G13</x:f>
      </x:c>
      <x:c r="H48" s="20">
        <x:f>H7+H8+H9+H10+H11+H12+H13</x:f>
      </x:c>
      <x:c r="I48" s="15"/>
    </x:row>
    <x:row r="49" spans="1:20">
      <x:c r="B49" s="21" t="s">
        <x:v>171</x:v>
      </x:c>
      <x:c r="C49" s="21"/>
      <x:c r="D49" s="21"/>
      <x:c r="E49" s="21"/>
      <x:c r="F49" s="20"/>
      <x:c r="G49" s="20"/>
      <x:c r="H49" s="20"/>
      <x:c r="I49" s="15"/>
    </x:row>
    <x:row r="50" spans="1:20">
      <x:c r="B50" s="21" t="s">
        <x:v>172</x:v>
      </x:c>
      <x:c r="C50" s="21"/>
      <x:c r="D50" s="21"/>
      <x:c r="E50" s="21"/>
      <x:c r="F50" s="20">
        <x:f>F6</x:f>
      </x:c>
      <x:c r="G50" s="20">
        <x:f>G6</x:f>
      </x:c>
      <x:c r="H50" s="20">
        <x:f>H6</x:f>
      </x:c>
      <x:c r="I50" s="15"/>
    </x:row>
    <x:row r="51" spans="1:20">
      <x:c r="B51" s="21" t="s">
        <x:v>173</x:v>
      </x:c>
      <x:c r="C51" s="21"/>
      <x:c r="D51" s="21"/>
      <x:c r="E51" s="21"/>
      <x:c r="F51" s="20">
        <x:f>F20+F24+F27</x:f>
      </x:c>
      <x:c r="G51" s="20">
        <x:f>G20+G24+G27</x:f>
      </x:c>
      <x:c r="H51" s="20">
        <x:f>H20+H24+H27</x:f>
      </x:c>
      <x:c r="I51" s="15"/>
    </x:row>
    <x:row r="52" spans="1:20">
      <x:c r="B52" s="21" t="s">
        <x:v>174</x:v>
      </x:c>
      <x:c r="C52" s="21"/>
      <x:c r="D52" s="21"/>
      <x:c r="E52" s="21"/>
      <x:c r="F52" s="20"/>
      <x:c r="G52" s="20"/>
      <x:c r="H52" s="20"/>
      <x:c r="I52" s="15"/>
    </x:row>
    <x:row r="53" spans="1:20">
      <x:c r="B53" s="21" t="s">
        <x:v>70</x:v>
      </x:c>
      <x:c r="C53" s="21"/>
      <x:c r="D53" s="21"/>
      <x:c r="E53" s="21"/>
      <x:c r="F53" s="20">
        <x:f>F15</x:f>
      </x:c>
      <x:c r="G53" s="20">
        <x:f>G15</x:f>
      </x:c>
      <x:c r="H53" s="20">
        <x:f>H15</x:f>
      </x:c>
      <x:c r="I53" s="15"/>
    </x:row>
    <x:row r="54" spans="1:20">
      <x:c r="B54" s="21" t="s">
        <x:v>175</x:v>
      </x:c>
      <x:c r="C54" s="21"/>
      <x:c r="D54" s="21"/>
      <x:c r="E54" s="21"/>
      <x:c r="F54" s="20">
        <x:f>F38</x:f>
      </x:c>
      <x:c r="G54" s="20">
        <x:f>G38</x:f>
      </x:c>
      <x:c r="H54" s="20">
        <x:f>H38</x:f>
      </x:c>
      <x:c r="I54" s="15"/>
    </x:row>
    <x:row r="55" spans="1:20">
      <x:c r="B55" s="19" t="s">
        <x:v>176</x:v>
      </x:c>
      <x:c r="C55" s="20"/>
      <x:c r="D55" s="20"/>
      <x:c r="E55" s="20"/>
      <x:c r="F55" s="20"/>
      <x:c r="G55" s="20"/>
      <x:c r="H55" s="21">
        <x:f>SUM(H56:H61)</x:f>
      </x:c>
      <x:c r="I55" s="22" t="s">
        <x:v>177</x:v>
      </x:c>
    </x:row>
    <x:row r="56" spans="1:20">
      <x:c r="B56" s="21" t="s">
        <x:v>178</x:v>
      </x:c>
      <x:c r="C56" s="21"/>
      <x:c r="D56" s="21"/>
      <x:c r="E56" s="21"/>
      <x:c r="F56" s="20"/>
      <x:c r="G56" s="20"/>
      <x:c r="H56" s="20"/>
      <x:c r="I56" s="15"/>
    </x:row>
    <x:row r="57" spans="1:20">
      <x:c r="B57" s="21" t="s">
        <x:v>179</x:v>
      </x:c>
      <x:c r="C57" s="21"/>
      <x:c r="D57" s="21"/>
      <x:c r="E57" s="21"/>
      <x:c r="F57" s="20">
        <x:f>F34</x:f>
      </x:c>
      <x:c r="G57" s="20">
        <x:f>G34</x:f>
      </x:c>
      <x:c r="H57" s="20">
        <x:f>H34</x:f>
      </x:c>
      <x:c r="I57" s="15"/>
    </x:row>
    <x:row r="58" spans="1:20">
      <x:c r="B58" s="21" t="s">
        <x:v>54</x:v>
      </x:c>
      <x:c r="C58" s="21"/>
      <x:c r="D58" s="21"/>
      <x:c r="E58" s="21"/>
      <x:c r="F58" s="20">
        <x:f>F33</x:f>
      </x:c>
      <x:c r="G58" s="20">
        <x:f>G33</x:f>
      </x:c>
      <x:c r="H58" s="20">
        <x:f>H33</x:f>
      </x:c>
      <x:c r="I58" s="15"/>
    </x:row>
    <x:row r="59" spans="1:20">
      <x:c r="B59" s="21" t="s">
        <x:v>180</x:v>
      </x:c>
      <x:c r="C59" s="21"/>
      <x:c r="D59" s="21"/>
      <x:c r="E59" s="21"/>
      <x:c r="F59" s="20">
        <x:f>F19+F35</x:f>
      </x:c>
      <x:c r="G59" s="20">
        <x:f>G19+G35</x:f>
      </x:c>
      <x:c r="H59" s="20">
        <x:f>H19+H35</x:f>
      </x:c>
      <x:c r="I59" s="15"/>
    </x:row>
    <x:row r="60" spans="1:20">
      <x:c r="B60" s="21" t="s">
        <x:v>181</x:v>
      </x:c>
      <x:c r="C60" s="21"/>
      <x:c r="D60" s="21"/>
      <x:c r="E60" s="21"/>
      <x:c r="F60" s="20">
        <x:f>F22+F28</x:f>
      </x:c>
      <x:c r="G60" s="20">
        <x:f>G22+G28</x:f>
      </x:c>
      <x:c r="H60" s="20">
        <x:f>H22+H28</x:f>
      </x:c>
      <x:c r="I60" s="15"/>
    </x:row>
    <x:row r="61" spans="1:20">
      <x:c r="B61" s="21" t="s">
        <x:v>182</x:v>
      </x:c>
      <x:c r="C61" s="21"/>
      <x:c r="D61" s="21"/>
      <x:c r="E61" s="21"/>
      <x:c r="F61" s="20">
        <x:f>F21</x:f>
      </x:c>
      <x:c r="G61" s="20">
        <x:f>G21</x:f>
      </x:c>
      <x:c r="H61" s="20">
        <x:f>H21</x:f>
      </x:c>
      <x:c r="I61" s="15"/>
    </x:row>
    <x:row r="62" spans="1:20">
      <x:c r="B62" s="19" t="s">
        <x:v>183</x:v>
      </x:c>
      <x:c r="C62" s="20"/>
      <x:c r="D62" s="20"/>
      <x:c r="E62" s="20"/>
      <x:c r="F62" s="20"/>
      <x:c r="G62" s="20"/>
      <x:c r="H62" s="21">
        <x:f>SUM(H63:H64)</x:f>
      </x:c>
      <x:c r="I62" s="22"/>
    </x:row>
    <x:row r="63" spans="1:20">
      <x:c r="B63" s="21" t="s">
        <x:v>184</x:v>
      </x:c>
      <x:c r="C63" s="21"/>
      <x:c r="D63" s="21"/>
      <x:c r="E63" s="21"/>
      <x:c r="F63" s="20"/>
      <x:c r="G63" s="20"/>
      <x:c r="H63" s="20"/>
      <x:c r="I63" s="15"/>
    </x:row>
    <x:row r="64" spans="1:20">
      <x:c r="B64" s="21" t="s">
        <x:v>185</x:v>
      </x:c>
      <x:c r="C64" s="21"/>
      <x:c r="D64" s="21"/>
      <x:c r="E64" s="21"/>
      <x:c r="F64" s="20"/>
      <x:c r="G64" s="20"/>
      <x:c r="H64" s="20"/>
      <x:c r="I64" s="15"/>
    </x:row>
    <x:row r="65" spans="1:20">
      <x:c r="B65" s="22"/>
      <x:c r="C65" s="22"/>
      <x:c r="D65" s="22"/>
      <x:c r="E65" s="22"/>
      <x:c r="F65" s="15"/>
      <x:c r="G65" s="15"/>
      <x:c r="H65" s="22">
        <x:f>H43+H47+H55+H62</x:f>
      </x:c>
      <x:c r="I65" s="15"/>
    </x:row>
    <x:row r="66" spans="1:20">
      <x:c r="H66" s="17">
        <x:f>H65 - H41</x:f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5F330E4-17C3-C449-A23F-5E65FD595DEC}" mc:Ignorable="x14ac xr xr2 xr3">
  <x:sheetPr>
    <x:outlinePr summaryBelow="1" summaryRight="1"/>
  </x:sheetPr>
  <x:dimension ref="A1:T34"/>
  <x:sheetViews>
    <x:sheetView topLeftCell="A38" zoomScale="67" zoomScaleNormal="67" workbookViewId="0">
      <x:selection activeCell="A35" sqref="A35 A35:J71"/>
    </x:sheetView>
  </x:sheetViews>
  <x:sheetFormatPr defaultColWidth="11.210625" defaultRowHeight="15.75"/>
  <x:cols>
    <x:col min="1" max="1" width="11.210625" style="0" customWidth="1"/>
    <x:col min="2" max="2" width="30.625" style="0" customWidth="1"/>
    <x:col min="3" max="3" width="3" style="0" customWidth="1"/>
    <x:col min="4" max="4" width="2.625" style="0" customWidth="1"/>
    <x:col min="5" max="5" width="2.875" style="0" customWidth="1"/>
  </x:cols>
  <x:sheetData>
    <x:row r="1" spans="1:2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</x:row>
    <x:row r="2" spans="1:20">
      <x:c r="A2" s="0">
        <x:v>1</x:v>
      </x:c>
      <x:c r="B2" s="0" t="s">
        <x:v>131</x:v>
      </x:c>
      <x:c r="C2" s="0" t="s">
        <x:v>21</x:v>
      </x:c>
      <x:c r="D2" s="0" t="s">
        <x:v>22</x:v>
      </x:c>
      <x:c r="E2" s="0">
        <x:v>1</x:v>
      </x:c>
      <x:c r="F2" s="0">
        <x:v>1</x:v>
      </x:c>
      <x:c r="G2" s="8">
        <x:v>200</x:v>
      </x:c>
      <x:c r="H2" s="8">
        <x:v>200</x:v>
      </x:c>
      <x:c r="I2" s="0" t="s">
        <x:v>23</x:v>
      </x:c>
      <x:c r="K2" s="8">
        <x:v>200</x:v>
      </x:c>
      <x:c r="L2" s="0" t="s">
        <x:v>24</x:v>
      </x:c>
      <x:c r="M2" s="0" t="s">
        <x:v>25</x:v>
      </x:c>
      <x:c r="N2" s="0" t="s">
        <x:v>26</x:v>
      </x:c>
      <x:c r="P2" s="0" t="s">
        <x:v>27</x:v>
      </x:c>
    </x:row>
    <x:row r="3" spans="1:20">
      <x:c r="A3" s="0">
        <x:v>2</x:v>
      </x:c>
      <x:c r="B3" s="0" t="s">
        <x:v>61</x:v>
      </x:c>
      <x:c r="C3" s="0" t="s">
        <x:v>21</x:v>
      </x:c>
      <x:c r="D3" s="0" t="s">
        <x:v>22</x:v>
      </x:c>
      <x:c r="E3" s="0">
        <x:v>1</x:v>
      </x:c>
      <x:c r="F3" s="0">
        <x:v>2</x:v>
      </x:c>
      <x:c r="G3" s="8">
        <x:v>250</x:v>
      </x:c>
      <x:c r="H3" s="8">
        <x:v>500</x:v>
      </x:c>
      <x:c r="I3" s="0" t="s">
        <x:v>23</x:v>
      </x:c>
      <x:c r="K3" s="8">
        <x:v>500</x:v>
      </x:c>
      <x:c r="L3" s="0" t="s">
        <x:v>24</x:v>
      </x:c>
      <x:c r="M3" s="0" t="s">
        <x:v>25</x:v>
      </x:c>
      <x:c r="N3" s="0" t="s">
        <x:v>26</x:v>
      </x:c>
      <x:c r="P3" s="0" t="s">
        <x:v>27</x:v>
      </x:c>
    </x:row>
    <x:row r="4" spans="1:20">
      <x:c r="A4" s="0">
        <x:v>3</x:v>
      </x:c>
      <x:c r="B4" s="0" t="s">
        <x:v>20</x:v>
      </x:c>
      <x:c r="C4" s="0" t="s">
        <x:v>21</x:v>
      </x:c>
      <x:c r="D4" s="0" t="s">
        <x:v>22</x:v>
      </x:c>
      <x:c r="E4" s="0">
        <x:v>1</x:v>
      </x:c>
      <x:c r="F4" s="0">
        <x:v>3</x:v>
      </x:c>
      <x:c r="G4" s="8">
        <x:v>150</x:v>
      </x:c>
      <x:c r="H4" s="8">
        <x:v>450</x:v>
      </x:c>
      <x:c r="I4" s="0" t="s">
        <x:v>23</x:v>
      </x:c>
      <x:c r="K4" s="8">
        <x:v>450</x:v>
      </x:c>
      <x:c r="L4" s="0" t="s">
        <x:v>24</x:v>
      </x:c>
      <x:c r="M4" s="0" t="s">
        <x:v>25</x:v>
      </x:c>
      <x:c r="N4" s="0" t="s">
        <x:v>26</x:v>
      </x:c>
      <x:c r="P4" s="0" t="s">
        <x:v>27</x:v>
      </x:c>
    </x:row>
    <x:row r="5" spans="1:20">
      <x:c r="A5" s="0">
        <x:v>4</x:v>
      </x:c>
      <x:c r="B5" s="0" t="s">
        <x:v>29</x:v>
      </x:c>
      <x:c r="C5" s="0" t="s">
        <x:v>21</x:v>
      </x:c>
      <x:c r="D5" s="0" t="s">
        <x:v>22</x:v>
      </x:c>
      <x:c r="E5" s="0">
        <x:v>1</x:v>
      </x:c>
      <x:c r="F5" s="0">
        <x:v>7</x:v>
      </x:c>
      <x:c r="G5" s="8">
        <x:v>217.86</x:v>
      </x:c>
      <x:c r="H5" s="8">
        <x:v>1525</x:v>
      </x:c>
      <x:c r="I5" s="0" t="s">
        <x:v>23</x:v>
      </x:c>
      <x:c r="K5" s="8">
        <x:v>1525</x:v>
      </x:c>
      <x:c r="L5" s="0" t="s">
        <x:v>24</x:v>
      </x:c>
      <x:c r="M5" s="0" t="s">
        <x:v>25</x:v>
      </x:c>
      <x:c r="N5" s="0" t="s">
        <x:v>26</x:v>
      </x:c>
      <x:c r="P5" s="0" t="s">
        <x:v>27</x:v>
      </x:c>
    </x:row>
    <x:row r="6" spans="1:20">
      <x:c r="A6" s="0">
        <x:v>5</x:v>
      </x:c>
      <x:c r="B6" s="0" t="s">
        <x:v>30</x:v>
      </x:c>
      <x:c r="C6" s="0" t="s">
        <x:v>21</x:v>
      </x:c>
      <x:c r="D6" s="0" t="s">
        <x:v>22</x:v>
      </x:c>
      <x:c r="E6" s="0">
        <x:v>1</x:v>
      </x:c>
      <x:c r="F6" s="0">
        <x:v>6</x:v>
      </x:c>
      <x:c r="G6" s="8">
        <x:v>316.25</x:v>
      </x:c>
      <x:c r="H6" s="8">
        <x:v>1897.5</x:v>
      </x:c>
      <x:c r="I6" s="0" t="s">
        <x:v>23</x:v>
      </x:c>
      <x:c r="K6" s="8">
        <x:v>1897.5</x:v>
      </x:c>
      <x:c r="L6" s="0" t="s">
        <x:v>24</x:v>
      </x:c>
      <x:c r="M6" s="0" t="s">
        <x:v>25</x:v>
      </x:c>
      <x:c r="N6" s="0" t="s">
        <x:v>26</x:v>
      </x:c>
      <x:c r="P6" s="0" t="s">
        <x:v>27</x:v>
      </x:c>
    </x:row>
    <x:row r="7" spans="1:20">
      <x:c r="A7" s="0">
        <x:v>6</x:v>
      </x:c>
      <x:c r="B7" s="0" t="s">
        <x:v>31</x:v>
      </x:c>
      <x:c r="C7" s="0" t="s">
        <x:v>21</x:v>
      </x:c>
      <x:c r="D7" s="0" t="s">
        <x:v>22</x:v>
      </x:c>
      <x:c r="E7" s="0">
        <x:v>1</x:v>
      </x:c>
      <x:c r="F7" s="0">
        <x:v>1</x:v>
      </x:c>
      <x:c r="G7" s="8">
        <x:v>90</x:v>
      </x:c>
      <x:c r="H7" s="8">
        <x:v>90</x:v>
      </x:c>
      <x:c r="I7" s="0" t="s">
        <x:v>23</x:v>
      </x:c>
      <x:c r="K7" s="8">
        <x:v>90</x:v>
      </x:c>
      <x:c r="L7" s="0" t="s">
        <x:v>24</x:v>
      </x:c>
      <x:c r="M7" s="0" t="s">
        <x:v>25</x:v>
      </x:c>
      <x:c r="N7" s="0" t="s">
        <x:v>26</x:v>
      </x:c>
      <x:c r="P7" s="0" t="s">
        <x:v>27</x:v>
      </x:c>
    </x:row>
    <x:row r="8" spans="1:20">
      <x:c r="A8" s="0">
        <x:v>7</x:v>
      </x:c>
      <x:c r="B8" s="0" t="s">
        <x:v>150</x:v>
      </x:c>
      <x:c r="C8" s="0" t="s">
        <x:v>21</x:v>
      </x:c>
      <x:c r="D8" s="0" t="s">
        <x:v>34</x:v>
      </x:c>
      <x:c r="E8" s="0">
        <x:v>1</x:v>
      </x:c>
      <x:c r="F8" s="0">
        <x:v>0.05</x:v>
      </x:c>
      <x:c r="G8" s="8">
        <x:v>3200</x:v>
      </x:c>
      <x:c r="H8" s="8">
        <x:v>160</x:v>
      </x:c>
      <x:c r="I8" s="0" t="s">
        <x:v>23</x:v>
      </x:c>
      <x:c r="K8" s="8">
        <x:v>160</x:v>
      </x:c>
      <x:c r="L8" s="0" t="s">
        <x:v>24</x:v>
      </x:c>
      <x:c r="M8" s="0" t="s">
        <x:v>25</x:v>
      </x:c>
      <x:c r="N8" s="0" t="s">
        <x:v>26</x:v>
      </x:c>
      <x:c r="P8" s="0" t="s">
        <x:v>27</x:v>
      </x:c>
    </x:row>
    <x:row r="9" spans="1:20">
      <x:c r="A9" s="0">
        <x:v>8</x:v>
      </x:c>
      <x:c r="B9" s="0" t="s">
        <x:v>79</x:v>
      </x:c>
      <x:c r="C9" s="0" t="s">
        <x:v>21</x:v>
      </x:c>
      <x:c r="D9" s="0" t="s">
        <x:v>34</x:v>
      </x:c>
      <x:c r="E9" s="0">
        <x:v>1</x:v>
      </x:c>
      <x:c r="F9" s="0">
        <x:v>0.5</x:v>
      </x:c>
      <x:c r="G9" s="8">
        <x:v>2180</x:v>
      </x:c>
      <x:c r="H9" s="8">
        <x:v>1090</x:v>
      </x:c>
      <x:c r="I9" s="0" t="s">
        <x:v>23</x:v>
      </x:c>
      <x:c r="K9" s="8">
        <x:v>1090</x:v>
      </x:c>
      <x:c r="L9" s="0" t="s">
        <x:v>24</x:v>
      </x:c>
      <x:c r="M9" s="0" t="s">
        <x:v>25</x:v>
      </x:c>
      <x:c r="N9" s="0" t="s">
        <x:v>26</x:v>
      </x:c>
      <x:c r="P9" s="0" t="s">
        <x:v>27</x:v>
      </x:c>
    </x:row>
    <x:row r="10" spans="1:20">
      <x:c r="A10" s="0">
        <x:v>9</x:v>
      </x:c>
      <x:c r="B10" s="0" t="s">
        <x:v>101</x:v>
      </x:c>
      <x:c r="C10" s="0" t="s">
        <x:v>21</x:v>
      </x:c>
      <x:c r="D10" s="0" t="s">
        <x:v>34</x:v>
      </x:c>
      <x:c r="E10" s="0">
        <x:v>1</x:v>
      </x:c>
      <x:c r="F10" s="0">
        <x:v>0.3</x:v>
      </x:c>
      <x:c r="G10" s="8">
        <x:v>3480</x:v>
      </x:c>
      <x:c r="H10" s="8">
        <x:v>1044</x:v>
      </x:c>
      <x:c r="I10" s="0" t="s">
        <x:v>23</x:v>
      </x:c>
      <x:c r="K10" s="8">
        <x:v>1044</x:v>
      </x:c>
      <x:c r="L10" s="0" t="s">
        <x:v>24</x:v>
      </x:c>
      <x:c r="M10" s="0" t="s">
        <x:v>25</x:v>
      </x:c>
      <x:c r="N10" s="0" t="s">
        <x:v>26</x:v>
      </x:c>
      <x:c r="P10" s="0" t="s">
        <x:v>27</x:v>
      </x:c>
    </x:row>
    <x:row r="11" spans="1:20">
      <x:c r="A11" s="0">
        <x:v>10</x:v>
      </x:c>
      <x:c r="B11" s="0" t="s">
        <x:v>93</x:v>
      </x:c>
      <x:c r="C11" s="0" t="s">
        <x:v>21</x:v>
      </x:c>
      <x:c r="D11" s="0" t="s">
        <x:v>34</x:v>
      </x:c>
      <x:c r="E11" s="0">
        <x:v>1</x:v>
      </x:c>
      <x:c r="F11" s="0">
        <x:v>0.2</x:v>
      </x:c>
      <x:c r="G11" s="8">
        <x:v>3480</x:v>
      </x:c>
      <x:c r="H11" s="8">
        <x:v>696</x:v>
      </x:c>
      <x:c r="I11" s="0" t="s">
        <x:v>23</x:v>
      </x:c>
      <x:c r="K11" s="8">
        <x:v>696</x:v>
      </x:c>
      <x:c r="L11" s="0" t="s">
        <x:v>24</x:v>
      </x:c>
      <x:c r="M11" s="0" t="s">
        <x:v>25</x:v>
      </x:c>
      <x:c r="N11" s="0" t="s">
        <x:v>26</x:v>
      </x:c>
      <x:c r="P11" s="0" t="s">
        <x:v>27</x:v>
      </x:c>
    </x:row>
    <x:row r="12" spans="1:20">
      <x:c r="A12" s="0">
        <x:v>11</x:v>
      </x:c>
      <x:c r="B12" s="0" t="s">
        <x:v>66</x:v>
      </x:c>
      <x:c r="C12" s="0" t="s">
        <x:v>21</x:v>
      </x:c>
      <x:c r="D12" s="0" t="s">
        <x:v>34</x:v>
      </x:c>
      <x:c r="E12" s="0">
        <x:v>1</x:v>
      </x:c>
      <x:c r="F12" s="0">
        <x:v>0.2</x:v>
      </x:c>
      <x:c r="G12" s="8">
        <x:v>4680</x:v>
      </x:c>
      <x:c r="H12" s="8">
        <x:v>936</x:v>
      </x:c>
      <x:c r="I12" s="0" t="s">
        <x:v>23</x:v>
      </x:c>
      <x:c r="K12" s="8">
        <x:v>936</x:v>
      </x:c>
      <x:c r="L12" s="0" t="s">
        <x:v>24</x:v>
      </x:c>
      <x:c r="M12" s="0" t="s">
        <x:v>25</x:v>
      </x:c>
      <x:c r="N12" s="0" t="s">
        <x:v>26</x:v>
      </x:c>
      <x:c r="P12" s="0" t="s">
        <x:v>27</x:v>
      </x:c>
    </x:row>
    <x:row r="13" spans="1:20">
      <x:c r="A13" s="0">
        <x:v>12</x:v>
      </x:c>
      <x:c r="B13" s="0" t="s">
        <x:v>67</x:v>
      </x:c>
      <x:c r="C13" s="0" t="s">
        <x:v>21</x:v>
      </x:c>
      <x:c r="D13" s="0" t="s">
        <x:v>34</x:v>
      </x:c>
      <x:c r="E13" s="0">
        <x:v>1</x:v>
      </x:c>
      <x:c r="F13" s="0">
        <x:v>0.94</x:v>
      </x:c>
      <x:c r="G13" s="8">
        <x:v>3180</x:v>
      </x:c>
      <x:c r="H13" s="8">
        <x:v>2989.2</x:v>
      </x:c>
      <x:c r="I13" s="0" t="s">
        <x:v>23</x:v>
      </x:c>
      <x:c r="K13" s="8">
        <x:v>2989.2</x:v>
      </x:c>
      <x:c r="L13" s="0" t="s">
        <x:v>24</x:v>
      </x:c>
      <x:c r="M13" s="0" t="s">
        <x:v>25</x:v>
      </x:c>
      <x:c r="N13" s="0" t="s">
        <x:v>26</x:v>
      </x:c>
      <x:c r="P13" s="0" t="s">
        <x:v>27</x:v>
      </x:c>
    </x:row>
    <x:row r="14" spans="1:20">
      <x:c r="A14" s="0">
        <x:v>13</x:v>
      </x:c>
      <x:c r="B14" s="0" t="s">
        <x:v>68</x:v>
      </x:c>
      <x:c r="C14" s="0" t="s">
        <x:v>21</x:v>
      </x:c>
      <x:c r="D14" s="0" t="s">
        <x:v>34</x:v>
      </x:c>
      <x:c r="E14" s="0">
        <x:v>1</x:v>
      </x:c>
      <x:c r="F14" s="0">
        <x:v>0.18</x:v>
      </x:c>
      <x:c r="G14" s="8">
        <x:v>3180</x:v>
      </x:c>
      <x:c r="H14" s="8">
        <x:v>572.4</x:v>
      </x:c>
      <x:c r="I14" s="0" t="s">
        <x:v>23</x:v>
      </x:c>
      <x:c r="K14" s="8">
        <x:v>572.4</x:v>
      </x:c>
      <x:c r="L14" s="0" t="s">
        <x:v>24</x:v>
      </x:c>
      <x:c r="M14" s="0" t="s">
        <x:v>25</x:v>
      </x:c>
      <x:c r="N14" s="0" t="s">
        <x:v>26</x:v>
      </x:c>
      <x:c r="P14" s="0" t="s">
        <x:v>27</x:v>
      </x:c>
    </x:row>
    <x:row r="15" spans="1:20">
      <x:c r="A15" s="0">
        <x:v>14</x:v>
      </x:c>
      <x:c r="B15" s="0" t="s">
        <x:v>35</x:v>
      </x:c>
      <x:c r="C15" s="0" t="s">
        <x:v>21</x:v>
      </x:c>
      <x:c r="D15" s="0" t="s">
        <x:v>34</x:v>
      </x:c>
      <x:c r="E15" s="0">
        <x:v>1</x:v>
      </x:c>
      <x:c r="F15" s="0">
        <x:v>0.1</x:v>
      </x:c>
      <x:c r="G15" s="8">
        <x:v>3380</x:v>
      </x:c>
      <x:c r="H15" s="8">
        <x:v>338</x:v>
      </x:c>
      <x:c r="I15" s="0" t="s">
        <x:v>23</x:v>
      </x:c>
      <x:c r="K15" s="8">
        <x:v>338</x:v>
      </x:c>
      <x:c r="L15" s="0" t="s">
        <x:v>24</x:v>
      </x:c>
      <x:c r="M15" s="0" t="s">
        <x:v>25</x:v>
      </x:c>
      <x:c r="N15" s="0" t="s">
        <x:v>26</x:v>
      </x:c>
      <x:c r="P15" s="0" t="s">
        <x:v>27</x:v>
      </x:c>
    </x:row>
    <x:row r="16" spans="1:20">
      <x:c r="A16" s="0">
        <x:v>15</x:v>
      </x:c>
      <x:c r="B16" s="0" t="s">
        <x:v>70</x:v>
      </x:c>
      <x:c r="C16" s="0" t="s">
        <x:v>21</x:v>
      </x:c>
      <x:c r="D16" s="0" t="s">
        <x:v>22</x:v>
      </x:c>
      <x:c r="E16" s="0">
        <x:v>1</x:v>
      </x:c>
      <x:c r="F16" s="0">
        <x:v>2</x:v>
      </x:c>
      <x:c r="G16" s="8">
        <x:v>250</x:v>
      </x:c>
      <x:c r="H16" s="8">
        <x:v>500</x:v>
      </x:c>
      <x:c r="I16" s="0" t="s">
        <x:v>23</x:v>
      </x:c>
      <x:c r="K16" s="8">
        <x:v>500</x:v>
      </x:c>
      <x:c r="L16" s="0" t="s">
        <x:v>24</x:v>
      </x:c>
      <x:c r="M16" s="0" t="s">
        <x:v>25</x:v>
      </x:c>
      <x:c r="N16" s="0" t="s">
        <x:v>26</x:v>
      </x:c>
      <x:c r="P16" s="0" t="s">
        <x:v>27</x:v>
      </x:c>
    </x:row>
    <x:row r="17" spans="1:20">
      <x:c r="A17" s="0">
        <x:v>16</x:v>
      </x:c>
      <x:c r="B17" s="0" t="s">
        <x:v>39</x:v>
      </x:c>
      <x:c r="C17" s="0" t="s">
        <x:v>21</x:v>
      </x:c>
      <x:c r="D17" s="0" t="s">
        <x:v>22</x:v>
      </x:c>
      <x:c r="E17" s="0">
        <x:v>1</x:v>
      </x:c>
      <x:c r="F17" s="0">
        <x:v>4</x:v>
      </x:c>
      <x:c r="G17" s="8">
        <x:v>250</x:v>
      </x:c>
      <x:c r="H17" s="8">
        <x:v>1000</x:v>
      </x:c>
      <x:c r="I17" s="0" t="s">
        <x:v>23</x:v>
      </x:c>
      <x:c r="K17" s="8">
        <x:v>1000</x:v>
      </x:c>
      <x:c r="L17" s="0" t="s">
        <x:v>24</x:v>
      </x:c>
      <x:c r="M17" s="0" t="s">
        <x:v>25</x:v>
      </x:c>
      <x:c r="N17" s="0" t="s">
        <x:v>26</x:v>
      </x:c>
      <x:c r="P17" s="0" t="s">
        <x:v>27</x:v>
      </x:c>
    </x:row>
    <x:row r="18" spans="1:20">
      <x:c r="A18" s="0">
        <x:v>17</x:v>
      </x:c>
      <x:c r="B18" s="0" t="s">
        <x:v>41</x:v>
      </x:c>
      <x:c r="C18" s="0" t="s">
        <x:v>21</x:v>
      </x:c>
      <x:c r="D18" s="0" t="s">
        <x:v>22</x:v>
      </x:c>
      <x:c r="E18" s="0">
        <x:v>1</x:v>
      </x:c>
      <x:c r="F18" s="0">
        <x:v>3</x:v>
      </x:c>
      <x:c r="G18" s="8">
        <x:v>300</x:v>
      </x:c>
      <x:c r="H18" s="8">
        <x:v>900</x:v>
      </x:c>
      <x:c r="I18" s="0" t="s">
        <x:v>23</x:v>
      </x:c>
      <x:c r="K18" s="8">
        <x:v>900</x:v>
      </x:c>
      <x:c r="L18" s="0" t="s">
        <x:v>24</x:v>
      </x:c>
      <x:c r="M18" s="0" t="s">
        <x:v>25</x:v>
      </x:c>
      <x:c r="N18" s="0" t="s">
        <x:v>26</x:v>
      </x:c>
      <x:c r="P18" s="0" t="s">
        <x:v>27</x:v>
      </x:c>
    </x:row>
    <x:row r="19" spans="1:20">
      <x:c r="A19" s="0">
        <x:v>18</x:v>
      </x:c>
      <x:c r="B19" s="0" t="s">
        <x:v>42</x:v>
      </x:c>
      <x:c r="C19" s="0" t="s">
        <x:v>21</x:v>
      </x:c>
      <x:c r="D19" s="0" t="s">
        <x:v>22</x:v>
      </x:c>
      <x:c r="E19" s="0">
        <x:v>1</x:v>
      </x:c>
      <x:c r="F19" s="0">
        <x:v>1</x:v>
      </x:c>
      <x:c r="G19" s="8">
        <x:v>215.51</x:v>
      </x:c>
      <x:c r="H19" s="8">
        <x:v>215.51</x:v>
      </x:c>
      <x:c r="I19" s="0" t="s">
        <x:v>23</x:v>
      </x:c>
      <x:c r="K19" s="8">
        <x:v>215.51</x:v>
      </x:c>
      <x:c r="L19" s="0" t="s">
        <x:v>24</x:v>
      </x:c>
      <x:c r="M19" s="0" t="s">
        <x:v>25</x:v>
      </x:c>
      <x:c r="N19" s="0" t="s">
        <x:v>26</x:v>
      </x:c>
      <x:c r="P19" s="0" t="s">
        <x:v>27</x:v>
      </x:c>
    </x:row>
    <x:row r="20" spans="1:20">
      <x:c r="A20" s="0">
        <x:v>19</x:v>
      </x:c>
      <x:c r="B20" s="0" t="s">
        <x:v>44</x:v>
      </x:c>
      <x:c r="C20" s="0" t="s">
        <x:v>21</x:v>
      </x:c>
      <x:c r="D20" s="0" t="s">
        <x:v>22</x:v>
      </x:c>
      <x:c r="E20" s="0">
        <x:v>1</x:v>
      </x:c>
      <x:c r="F20" s="0">
        <x:v>3</x:v>
      </x:c>
      <x:c r="G20" s="8">
        <x:v>85</x:v>
      </x:c>
      <x:c r="H20" s="8">
        <x:v>255</x:v>
      </x:c>
      <x:c r="I20" s="0" t="s">
        <x:v>23</x:v>
      </x:c>
      <x:c r="K20" s="8">
        <x:v>255</x:v>
      </x:c>
      <x:c r="L20" s="0" t="s">
        <x:v>24</x:v>
      </x:c>
      <x:c r="M20" s="0" t="s">
        <x:v>25</x:v>
      </x:c>
      <x:c r="N20" s="0" t="s">
        <x:v>26</x:v>
      </x:c>
      <x:c r="P20" s="0" t="s">
        <x:v>27</x:v>
      </x:c>
    </x:row>
    <x:row r="21" spans="1:20">
      <x:c r="A21" s="0">
        <x:v>20</x:v>
      </x:c>
      <x:c r="B21" s="0" t="s">
        <x:v>151</x:v>
      </x:c>
      <x:c r="C21" s="0" t="s">
        <x:v>21</x:v>
      </x:c>
      <x:c r="D21" s="0" t="s">
        <x:v>22</x:v>
      </x:c>
      <x:c r="E21" s="0">
        <x:v>1</x:v>
      </x:c>
      <x:c r="F21" s="0">
        <x:v>1</x:v>
      </x:c>
      <x:c r="G21" s="8">
        <x:v>55</x:v>
      </x:c>
      <x:c r="H21" s="8">
        <x:v>55</x:v>
      </x:c>
      <x:c r="I21" s="0" t="s">
        <x:v>23</x:v>
      </x:c>
      <x:c r="K21" s="8">
        <x:v>55</x:v>
      </x:c>
      <x:c r="L21" s="0" t="s">
        <x:v>24</x:v>
      </x:c>
      <x:c r="M21" s="0" t="s">
        <x:v>25</x:v>
      </x:c>
      <x:c r="N21" s="0" t="s">
        <x:v>26</x:v>
      </x:c>
      <x:c r="P21" s="0" t="s">
        <x:v>27</x:v>
      </x:c>
    </x:row>
    <x:row r="22" spans="1:20">
      <x:c r="A22" s="0">
        <x:v>21</x:v>
      </x:c>
      <x:c r="B22" s="0" t="s">
        <x:v>45</x:v>
      </x:c>
      <x:c r="C22" s="0" t="s">
        <x:v>21</x:v>
      </x:c>
      <x:c r="D22" s="0" t="s">
        <x:v>22</x:v>
      </x:c>
      <x:c r="E22" s="0">
        <x:v>1</x:v>
      </x:c>
      <x:c r="F22" s="0">
        <x:v>1</x:v>
      </x:c>
      <x:c r="G22" s="8">
        <x:v>55</x:v>
      </x:c>
      <x:c r="H22" s="8">
        <x:v>55</x:v>
      </x:c>
      <x:c r="I22" s="0" t="s">
        <x:v>23</x:v>
      </x:c>
      <x:c r="K22" s="8">
        <x:v>55</x:v>
      </x:c>
      <x:c r="L22" s="0" t="s">
        <x:v>24</x:v>
      </x:c>
      <x:c r="M22" s="0" t="s">
        <x:v>25</x:v>
      </x:c>
      <x:c r="N22" s="0" t="s">
        <x:v>26</x:v>
      </x:c>
      <x:c r="P22" s="0" t="s">
        <x:v>27</x:v>
      </x:c>
    </x:row>
    <x:row r="23" spans="1:20">
      <x:c r="A23" s="0">
        <x:v>22</x:v>
      </x:c>
      <x:c r="B23" s="0" t="s">
        <x:v>47</x:v>
      </x:c>
      <x:c r="C23" s="0" t="s">
        <x:v>21</x:v>
      </x:c>
      <x:c r="D23" s="0" t="s">
        <x:v>22</x:v>
      </x:c>
      <x:c r="E23" s="0">
        <x:v>1</x:v>
      </x:c>
      <x:c r="F23" s="0">
        <x:v>4</x:v>
      </x:c>
      <x:c r="G23" s="8">
        <x:v>265.36</x:v>
      </x:c>
      <x:c r="H23" s="8">
        <x:v>1061.42</x:v>
      </x:c>
      <x:c r="I23" s="0" t="s">
        <x:v>23</x:v>
      </x:c>
      <x:c r="K23" s="8">
        <x:v>1061.42</x:v>
      </x:c>
      <x:c r="L23" s="0" t="s">
        <x:v>24</x:v>
      </x:c>
      <x:c r="M23" s="0" t="s">
        <x:v>25</x:v>
      </x:c>
      <x:c r="N23" s="0" t="s">
        <x:v>26</x:v>
      </x:c>
      <x:c r="P23" s="0" t="s">
        <x:v>27</x:v>
      </x:c>
    </x:row>
    <x:row r="24" spans="1:20">
      <x:c r="A24" s="0">
        <x:v>23</x:v>
      </x:c>
      <x:c r="B24" s="0" t="s">
        <x:v>71</x:v>
      </x:c>
      <x:c r="C24" s="0" t="s">
        <x:v>21</x:v>
      </x:c>
      <x:c r="D24" s="0" t="s">
        <x:v>22</x:v>
      </x:c>
      <x:c r="E24" s="0">
        <x:v>1</x:v>
      </x:c>
      <x:c r="F24" s="0">
        <x:v>1</x:v>
      </x:c>
      <x:c r="G24" s="8">
        <x:v>150</x:v>
      </x:c>
      <x:c r="H24" s="8">
        <x:v>150</x:v>
      </x:c>
      <x:c r="I24" s="0" t="s">
        <x:v>23</x:v>
      </x:c>
      <x:c r="K24" s="8">
        <x:v>150</x:v>
      </x:c>
      <x:c r="L24" s="0" t="s">
        <x:v>24</x:v>
      </x:c>
      <x:c r="M24" s="0" t="s">
        <x:v>25</x:v>
      </x:c>
      <x:c r="N24" s="0" t="s">
        <x:v>26</x:v>
      </x:c>
      <x:c r="P24" s="0" t="s">
        <x:v>27</x:v>
      </x:c>
    </x:row>
    <x:row r="25" spans="1:20">
      <x:c r="A25" s="0">
        <x:v>24</x:v>
      </x:c>
      <x:c r="B25" s="0" t="s">
        <x:v>49</x:v>
      </x:c>
      <x:c r="C25" s="0" t="s">
        <x:v>21</x:v>
      </x:c>
      <x:c r="D25" s="0" t="s">
        <x:v>22</x:v>
      </x:c>
      <x:c r="E25" s="0">
        <x:v>1</x:v>
      </x:c>
      <x:c r="F25" s="0">
        <x:v>1</x:v>
      </x:c>
      <x:c r="G25" s="8">
        <x:v>250</x:v>
      </x:c>
      <x:c r="H25" s="8">
        <x:v>250</x:v>
      </x:c>
      <x:c r="I25" s="0" t="s">
        <x:v>23</x:v>
      </x:c>
      <x:c r="K25" s="8">
        <x:v>250</x:v>
      </x:c>
      <x:c r="L25" s="0" t="s">
        <x:v>24</x:v>
      </x:c>
      <x:c r="M25" s="0" t="s">
        <x:v>25</x:v>
      </x:c>
      <x:c r="N25" s="0" t="s">
        <x:v>26</x:v>
      </x:c>
      <x:c r="P25" s="0" t="s">
        <x:v>27</x:v>
      </x:c>
    </x:row>
    <x:row r="26" spans="1:20">
      <x:c r="A26" s="0">
        <x:v>25</x:v>
      </x:c>
      <x:c r="B26" s="0" t="s">
        <x:v>95</x:v>
      </x:c>
      <x:c r="C26" s="0" t="s">
        <x:v>21</x:v>
      </x:c>
      <x:c r="D26" s="0" t="s">
        <x:v>22</x:v>
      </x:c>
      <x:c r="E26" s="0">
        <x:v>1</x:v>
      </x:c>
      <x:c r="F26" s="0">
        <x:v>4</x:v>
      </x:c>
      <x:c r="G26" s="8">
        <x:v>213.75</x:v>
      </x:c>
      <x:c r="H26" s="8">
        <x:v>855</x:v>
      </x:c>
      <x:c r="I26" s="0" t="s">
        <x:v>23</x:v>
      </x:c>
      <x:c r="K26" s="8">
        <x:v>855</x:v>
      </x:c>
      <x:c r="L26" s="0" t="s">
        <x:v>24</x:v>
      </x:c>
      <x:c r="M26" s="0" t="s">
        <x:v>25</x:v>
      </x:c>
      <x:c r="N26" s="0" t="s">
        <x:v>26</x:v>
      </x:c>
      <x:c r="P26" s="0" t="s">
        <x:v>27</x:v>
      </x:c>
    </x:row>
    <x:row r="27" spans="1:20">
      <x:c r="A27" s="0">
        <x:v>26</x:v>
      </x:c>
      <x:c r="B27" s="0" t="s">
        <x:v>144</x:v>
      </x:c>
      <x:c r="C27" s="0" t="s">
        <x:v>21</x:v>
      </x:c>
      <x:c r="D27" s="0" t="s">
        <x:v>22</x:v>
      </x:c>
      <x:c r="E27" s="0">
        <x:v>1</x:v>
      </x:c>
      <x:c r="F27" s="0">
        <x:v>1</x:v>
      </x:c>
      <x:c r="G27" s="8">
        <x:v>15</x:v>
      </x:c>
      <x:c r="H27" s="8">
        <x:v>15</x:v>
      </x:c>
      <x:c r="I27" s="0" t="s">
        <x:v>23</x:v>
      </x:c>
      <x:c r="K27" s="8">
        <x:v>15</x:v>
      </x:c>
      <x:c r="L27" s="0" t="s">
        <x:v>24</x:v>
      </x:c>
      <x:c r="M27" s="0" t="s">
        <x:v>25</x:v>
      </x:c>
      <x:c r="N27" s="0" t="s">
        <x:v>26</x:v>
      </x:c>
      <x:c r="P27" s="0" t="s">
        <x:v>27</x:v>
      </x:c>
    </x:row>
    <x:row r="28" spans="1:20">
      <x:c r="A28" s="0">
        <x:v>27</x:v>
      </x:c>
      <x:c r="B28" s="0" t="s">
        <x:v>50</x:v>
      </x:c>
      <x:c r="C28" s="0" t="s">
        <x:v>21</x:v>
      </x:c>
      <x:c r="D28" s="0" t="s">
        <x:v>22</x:v>
      </x:c>
      <x:c r="E28" s="0">
        <x:v>1</x:v>
      </x:c>
      <x:c r="F28" s="0">
        <x:v>6</x:v>
      </x:c>
      <x:c r="G28" s="8">
        <x:v>150</x:v>
      </x:c>
      <x:c r="H28" s="8">
        <x:v>900</x:v>
      </x:c>
      <x:c r="I28" s="0" t="s">
        <x:v>23</x:v>
      </x:c>
      <x:c r="K28" s="8">
        <x:v>900</x:v>
      </x:c>
      <x:c r="L28" s="0" t="s">
        <x:v>24</x:v>
      </x:c>
      <x:c r="M28" s="0" t="s">
        <x:v>25</x:v>
      </x:c>
      <x:c r="N28" s="0" t="s">
        <x:v>26</x:v>
      </x:c>
      <x:c r="P28" s="0" t="s">
        <x:v>27</x:v>
      </x:c>
    </x:row>
    <x:row r="29" spans="1:20">
      <x:c r="A29" s="0">
        <x:v>28</x:v>
      </x:c>
      <x:c r="B29" s="0" t="s">
        <x:v>51</x:v>
      </x:c>
      <x:c r="C29" s="0" t="s">
        <x:v>21</x:v>
      </x:c>
      <x:c r="D29" s="0" t="s">
        <x:v>22</x:v>
      </x:c>
      <x:c r="E29" s="0">
        <x:v>1</x:v>
      </x:c>
      <x:c r="F29" s="0">
        <x:v>6</x:v>
      </x:c>
      <x:c r="G29" s="8">
        <x:v>51.5</x:v>
      </x:c>
      <x:c r="H29" s="8">
        <x:v>309</x:v>
      </x:c>
      <x:c r="I29" s="0" t="s">
        <x:v>23</x:v>
      </x:c>
      <x:c r="K29" s="8">
        <x:v>309</x:v>
      </x:c>
      <x:c r="L29" s="0" t="s">
        <x:v>24</x:v>
      </x:c>
      <x:c r="M29" s="0" t="s">
        <x:v>25</x:v>
      </x:c>
      <x:c r="N29" s="0" t="s">
        <x:v>26</x:v>
      </x:c>
      <x:c r="P29" s="0" t="s">
        <x:v>27</x:v>
      </x:c>
    </x:row>
    <x:row r="30" spans="1:20">
      <x:c r="A30" s="0">
        <x:v>29</x:v>
      </x:c>
      <x:c r="B30" s="0" t="s">
        <x:v>52</x:v>
      </x:c>
      <x:c r="C30" s="0" t="s">
        <x:v>21</x:v>
      </x:c>
      <x:c r="D30" s="0" t="s">
        <x:v>22</x:v>
      </x:c>
      <x:c r="E30" s="0">
        <x:v>1</x:v>
      </x:c>
      <x:c r="F30" s="0">
        <x:v>4</x:v>
      </x:c>
      <x:c r="G30" s="8">
        <x:v>259.88</x:v>
      </x:c>
      <x:c r="H30" s="8">
        <x:v>1039.5</x:v>
      </x:c>
      <x:c r="I30" s="0" t="s">
        <x:v>23</x:v>
      </x:c>
      <x:c r="K30" s="8">
        <x:v>1039.5</x:v>
      </x:c>
      <x:c r="L30" s="0" t="s">
        <x:v>24</x:v>
      </x:c>
      <x:c r="M30" s="0" t="s">
        <x:v>25</x:v>
      </x:c>
      <x:c r="N30" s="0" t="s">
        <x:v>26</x:v>
      </x:c>
      <x:c r="P30" s="0" t="s">
        <x:v>27</x:v>
      </x:c>
    </x:row>
    <x:row r="31" spans="1:20">
      <x:c r="A31" s="0">
        <x:v>30</x:v>
      </x:c>
      <x:c r="B31" s="0" t="s">
        <x:v>53</x:v>
      </x:c>
      <x:c r="C31" s="0" t="s">
        <x:v>21</x:v>
      </x:c>
      <x:c r="D31" s="0" t="s">
        <x:v>22</x:v>
      </x:c>
      <x:c r="E31" s="0">
        <x:v>1</x:v>
      </x:c>
      <x:c r="F31" s="0">
        <x:v>2</x:v>
      </x:c>
      <x:c r="G31" s="8">
        <x:v>40</x:v>
      </x:c>
      <x:c r="H31" s="8">
        <x:v>80</x:v>
      </x:c>
      <x:c r="I31" s="0" t="s">
        <x:v>23</x:v>
      </x:c>
      <x:c r="K31" s="8">
        <x:v>80</x:v>
      </x:c>
      <x:c r="L31" s="0" t="s">
        <x:v>24</x:v>
      </x:c>
      <x:c r="M31" s="0" t="s">
        <x:v>25</x:v>
      </x:c>
      <x:c r="N31" s="0" t="s">
        <x:v>26</x:v>
      </x:c>
      <x:c r="P31" s="0" t="s">
        <x:v>27</x:v>
      </x:c>
    </x:row>
    <x:row r="32" spans="1:20">
      <x:c r="A32" s="0">
        <x:v>31</x:v>
      </x:c>
      <x:c r="B32" s="0" t="s">
        <x:v>55</x:v>
      </x:c>
      <x:c r="C32" s="0" t="s">
        <x:v>21</x:v>
      </x:c>
      <x:c r="D32" s="0" t="s">
        <x:v>22</x:v>
      </x:c>
      <x:c r="E32" s="0">
        <x:v>1</x:v>
      </x:c>
      <x:c r="F32" s="0">
        <x:v>4</x:v>
      </x:c>
      <x:c r="G32" s="8">
        <x:v>319.52</x:v>
      </x:c>
      <x:c r="H32" s="8">
        <x:v>1278.07</x:v>
      </x:c>
      <x:c r="I32" s="0" t="s">
        <x:v>23</x:v>
      </x:c>
      <x:c r="K32" s="8">
        <x:v>1278.07</x:v>
      </x:c>
      <x:c r="L32" s="0" t="s">
        <x:v>24</x:v>
      </x:c>
      <x:c r="M32" s="0" t="s">
        <x:v>25</x:v>
      </x:c>
      <x:c r="N32" s="0" t="s">
        <x:v>26</x:v>
      </x:c>
      <x:c r="P32" s="0" t="s">
        <x:v>27</x:v>
      </x:c>
    </x:row>
    <x:row r="33" spans="1:20">
      <x:c r="A33" s="0">
        <x:v>32</x:v>
      </x:c>
      <x:c r="B33" s="0" t="s">
        <x:v>57</x:v>
      </x:c>
      <x:c r="C33" s="0" t="s">
        <x:v>21</x:v>
      </x:c>
      <x:c r="D33" s="0" t="s">
        <x:v>22</x:v>
      </x:c>
      <x:c r="E33" s="0">
        <x:v>1</x:v>
      </x:c>
      <x:c r="F33" s="0">
        <x:v>5</x:v>
      </x:c>
      <x:c r="G33" s="8">
        <x:v>138.6</x:v>
      </x:c>
      <x:c r="H33" s="8">
        <x:v>693</x:v>
      </x:c>
      <x:c r="I33" s="0" t="s">
        <x:v>23</x:v>
      </x:c>
      <x:c r="K33" s="8">
        <x:v>693</x:v>
      </x:c>
      <x:c r="L33" s="0" t="s">
        <x:v>24</x:v>
      </x:c>
      <x:c r="M33" s="0" t="s">
        <x:v>25</x:v>
      </x:c>
      <x:c r="N33" s="0" t="s">
        <x:v>26</x:v>
      </x:c>
      <x:c r="P33" s="0" t="s">
        <x:v>27</x:v>
      </x:c>
    </x:row>
    <x:row r="34" spans="1:20">
      <x:c r="A34" s="0">
        <x:v>33</x:v>
      </x:c>
      <x:c r="B34" s="0" t="s">
        <x:v>58</x:v>
      </x:c>
      <x:c r="C34" s="0" t="s">
        <x:v>21</x:v>
      </x:c>
      <x:c r="D34" s="0" t="s">
        <x:v>22</x:v>
      </x:c>
      <x:c r="E34" s="0">
        <x:v>1</x:v>
      </x:c>
      <x:c r="F34" s="0">
        <x:v>2</x:v>
      </x:c>
      <x:c r="G34" s="8">
        <x:v>280</x:v>
      </x:c>
      <x:c r="H34" s="8">
        <x:v>560</x:v>
      </x:c>
      <x:c r="I34" s="0" t="s">
        <x:v>23</x:v>
      </x:c>
      <x:c r="K34" s="8">
        <x:v>560</x:v>
      </x:c>
      <x:c r="L34" s="0" t="s">
        <x:v>24</x:v>
      </x:c>
      <x:c r="M34" s="0" t="s">
        <x:v>25</x:v>
      </x:c>
      <x:c r="N34" s="0" t="s">
        <x:v>26</x:v>
      </x:c>
      <x:c r="P34" s="0" t="s">
        <x:v>27</x:v>
      </x:c>
    </x:row>
    <x:row r="35" spans="1:20">
      <x:c r="H35" s="18">
        <x:f>SUM(H2:H34)</x:f>
      </x:c>
    </x:row>
    <x:row r="37" spans="1:20">
      <x:c r="B37" s="19" t="s">
        <x:v>163</x:v>
      </x:c>
      <x:c r="C37" s="20"/>
      <x:c r="D37" s="20"/>
      <x:c r="E37" s="20"/>
      <x:c r="F37" s="20"/>
      <x:c r="G37" s="20"/>
      <x:c r="H37" s="21">
        <x:f>SUM(H38:H40)</x:f>
      </x:c>
      <x:c r="I37" s="22" t="s">
        <x:v>164</x:v>
      </x:c>
    </x:row>
    <x:row r="38" spans="1:20">
      <x:c r="B38" s="21" t="s">
        <x:v>165</x:v>
      </x:c>
      <x:c r="C38" s="21"/>
      <x:c r="D38" s="21"/>
      <x:c r="E38" s="21"/>
      <x:c r="F38" s="20">
        <x:f>F2+F3+F4+F5+F6+F16+F17+F18+F23+F24+F25+F26+F30+F33+F34</x:f>
      </x:c>
      <x:c r="G38" s="20">
        <x:f>G2+G3+G4+G5+G6+G16+G17+G18+G23+G24+G25+G26+G30+G33+G34</x:f>
      </x:c>
      <x:c r="H38" s="20">
        <x:f>H2+H3+H4+H5+H6+H16+H17+H18+H23+H24+H25+H26+H30+H33+H34</x:f>
      </x:c>
      <x:c r="I38" s="15"/>
    </x:row>
    <x:row r="39" spans="1:20">
      <x:c r="B39" s="21" t="s">
        <x:v>166</x:v>
      </x:c>
      <x:c r="C39" s="21"/>
      <x:c r="D39" s="21"/>
      <x:c r="E39" s="21"/>
      <x:c r="F39" s="20">
        <x:f>F21+F27</x:f>
      </x:c>
      <x:c r="G39" s="20">
        <x:f>G21+G27</x:f>
      </x:c>
      <x:c r="H39" s="20">
        <x:f>H21+H27</x:f>
      </x:c>
      <x:c r="I39" s="15"/>
    </x:row>
    <x:row r="40" spans="1:20">
      <x:c r="B40" s="21" t="s">
        <x:v>167</x:v>
      </x:c>
      <x:c r="C40" s="21"/>
      <x:c r="D40" s="21"/>
      <x:c r="E40" s="21"/>
      <x:c r="F40" s="20">
        <x:f>F7+F29+F31</x:f>
      </x:c>
      <x:c r="G40" s="20">
        <x:f>G7+G29+G31</x:f>
      </x:c>
      <x:c r="H40" s="20">
        <x:f>H7+H29+H31</x:f>
      </x:c>
      <x:c r="I40" s="15"/>
    </x:row>
    <x:row r="41" spans="1:20">
      <x:c r="B41" s="19" t="s">
        <x:v>168</x:v>
      </x:c>
      <x:c r="C41" s="20"/>
      <x:c r="D41" s="20"/>
      <x:c r="E41" s="20"/>
      <x:c r="F41" s="20"/>
      <x:c r="G41" s="20"/>
      <x:c r="H41" s="21">
        <x:f>SUM(H42:H48)</x:f>
      </x:c>
      <x:c r="I41" s="22" t="s">
        <x:v>169</x:v>
      </x:c>
    </x:row>
    <x:row r="42" spans="1:20">
      <x:c r="B42" s="21" t="s">
        <x:v>170</x:v>
      </x:c>
      <x:c r="C42" s="21"/>
      <x:c r="D42" s="21"/>
      <x:c r="E42" s="21"/>
      <x:c r="F42" s="20">
        <x:f>F9+F10+F11+F12+F13+F14+F15</x:f>
      </x:c>
      <x:c r="G42" s="20">
        <x:f>G9+G10+G11+G12+G13+G14+G15</x:f>
      </x:c>
      <x:c r="H42" s="20">
        <x:f>H9+H10+H11+H12+H13+H14+H15</x:f>
      </x:c>
      <x:c r="I42" s="15"/>
    </x:row>
    <x:row r="43" spans="1:20">
      <x:c r="B43" s="21" t="s">
        <x:v>171</x:v>
      </x:c>
      <x:c r="C43" s="21"/>
      <x:c r="D43" s="21"/>
      <x:c r="E43" s="21"/>
      <x:c r="F43" s="20"/>
      <x:c r="G43" s="20"/>
      <x:c r="H43" s="20"/>
      <x:c r="I43" s="15"/>
    </x:row>
    <x:row r="44" spans="1:20">
      <x:c r="B44" s="21" t="s">
        <x:v>172</x:v>
      </x:c>
      <x:c r="C44" s="21"/>
      <x:c r="D44" s="21"/>
      <x:c r="E44" s="21"/>
      <x:c r="F44" s="20"/>
      <x:c r="G44" s="20"/>
      <x:c r="H44" s="20"/>
      <x:c r="I44" s="15"/>
    </x:row>
    <x:row r="45" spans="1:20">
      <x:c r="B45" s="21" t="s">
        <x:v>173</x:v>
      </x:c>
      <x:c r="C45" s="21"/>
      <x:c r="D45" s="21"/>
      <x:c r="E45" s="21"/>
      <x:c r="F45" s="20">
        <x:f>F8</x:f>
      </x:c>
      <x:c r="G45" s="20">
        <x:f>G8</x:f>
      </x:c>
      <x:c r="H45" s="20">
        <x:f>H8</x:f>
      </x:c>
      <x:c r="I45" s="15"/>
    </x:row>
    <x:row r="46" spans="1:20">
      <x:c r="B46" s="21" t="s">
        <x:v>174</x:v>
      </x:c>
      <x:c r="C46" s="21"/>
      <x:c r="D46" s="21"/>
      <x:c r="E46" s="21"/>
      <x:c r="F46" s="20"/>
      <x:c r="G46" s="20"/>
      <x:c r="H46" s="20"/>
      <x:c r="I46" s="15"/>
    </x:row>
    <x:row r="47" spans="1:20">
      <x:c r="B47" s="21" t="s">
        <x:v>70</x:v>
      </x:c>
      <x:c r="C47" s="21"/>
      <x:c r="D47" s="21"/>
      <x:c r="E47" s="21"/>
      <x:c r="F47" s="20"/>
      <x:c r="G47" s="20"/>
      <x:c r="H47" s="20"/>
      <x:c r="I47" s="15"/>
    </x:row>
    <x:row r="48" spans="1:20">
      <x:c r="B48" s="21" t="s">
        <x:v>175</x:v>
      </x:c>
      <x:c r="C48" s="21"/>
      <x:c r="D48" s="21"/>
      <x:c r="E48" s="21"/>
      <x:c r="F48" s="20"/>
      <x:c r="G48" s="20"/>
      <x:c r="H48" s="20"/>
      <x:c r="I48" s="15"/>
    </x:row>
    <x:row r="49" spans="1:20">
      <x:c r="B49" s="19" t="s">
        <x:v>176</x:v>
      </x:c>
      <x:c r="C49" s="20"/>
      <x:c r="D49" s="20"/>
      <x:c r="E49" s="20"/>
      <x:c r="F49" s="20"/>
      <x:c r="G49" s="20"/>
      <x:c r="H49" s="21">
        <x:f>SUM(H50:H55)</x:f>
      </x:c>
      <x:c r="I49" s="22" t="s">
        <x:v>177</x:v>
      </x:c>
    </x:row>
    <x:row r="50" spans="1:20">
      <x:c r="B50" s="21" t="s">
        <x:v>178</x:v>
      </x:c>
      <x:c r="C50" s="21"/>
      <x:c r="D50" s="21"/>
      <x:c r="E50" s="21"/>
      <x:c r="F50" s="20"/>
      <x:c r="G50" s="20"/>
      <x:c r="H50" s="20"/>
      <x:c r="I50" s="15"/>
    </x:row>
    <x:row r="51" spans="1:20">
      <x:c r="B51" s="21" t="s">
        <x:v>179</x:v>
      </x:c>
      <x:c r="C51" s="21"/>
      <x:c r="D51" s="21"/>
      <x:c r="E51" s="21"/>
      <x:c r="F51" s="20">
        <x:f>F32</x:f>
      </x:c>
      <x:c r="G51" s="20">
        <x:f>G32</x:f>
      </x:c>
      <x:c r="H51" s="20">
        <x:f>H32</x:f>
      </x:c>
      <x:c r="I51" s="15"/>
    </x:row>
    <x:row r="52" spans="1:20">
      <x:c r="B52" s="21" t="s">
        <x:v>54</x:v>
      </x:c>
      <x:c r="C52" s="21"/>
      <x:c r="D52" s="21"/>
      <x:c r="E52" s="21"/>
      <x:c r="F52" s="20"/>
      <x:c r="G52" s="20"/>
      <x:c r="H52" s="20"/>
      <x:c r="I52" s="15"/>
    </x:row>
    <x:row r="53" spans="1:20">
      <x:c r="B53" s="21" t="s">
        <x:v>180</x:v>
      </x:c>
      <x:c r="C53" s="21"/>
      <x:c r="D53" s="21"/>
      <x:c r="E53" s="21"/>
      <x:c r="F53" s="20">
        <x:f>F19</x:f>
      </x:c>
      <x:c r="G53" s="20">
        <x:f>G19</x:f>
      </x:c>
      <x:c r="H53" s="20">
        <x:f>H19</x:f>
      </x:c>
      <x:c r="I53" s="15"/>
    </x:row>
    <x:row r="54" spans="1:20">
      <x:c r="B54" s="21" t="s">
        <x:v>181</x:v>
      </x:c>
      <x:c r="C54" s="21"/>
      <x:c r="D54" s="21"/>
      <x:c r="E54" s="21"/>
      <x:c r="F54" s="20">
        <x:f>F22+F28</x:f>
      </x:c>
      <x:c r="G54" s="20">
        <x:f>G22+G28</x:f>
      </x:c>
      <x:c r="H54" s="20">
        <x:f>H22+H28</x:f>
      </x:c>
      <x:c r="I54" s="15"/>
    </x:row>
    <x:row r="55" spans="1:20">
      <x:c r="B55" s="21" t="s">
        <x:v>182</x:v>
      </x:c>
      <x:c r="C55" s="21"/>
      <x:c r="D55" s="21"/>
      <x:c r="E55" s="21"/>
      <x:c r="F55" s="20">
        <x:f>F20</x:f>
      </x:c>
      <x:c r="G55" s="20">
        <x:f>G20</x:f>
      </x:c>
      <x:c r="H55" s="20">
        <x:f>H20</x:f>
      </x:c>
      <x:c r="I55" s="15"/>
    </x:row>
    <x:row r="56" spans="1:20">
      <x:c r="B56" s="19" t="s">
        <x:v>183</x:v>
      </x:c>
      <x:c r="C56" s="20"/>
      <x:c r="D56" s="20"/>
      <x:c r="E56" s="20"/>
      <x:c r="F56" s="20"/>
      <x:c r="G56" s="20"/>
      <x:c r="H56" s="21">
        <x:f>SUM(H57:H58)</x:f>
      </x:c>
      <x:c r="I56" s="22"/>
    </x:row>
    <x:row r="57" spans="1:20">
      <x:c r="B57" s="21" t="s">
        <x:v>184</x:v>
      </x:c>
      <x:c r="C57" s="21"/>
      <x:c r="D57" s="21"/>
      <x:c r="E57" s="21"/>
      <x:c r="F57" s="20"/>
      <x:c r="G57" s="20"/>
      <x:c r="H57" s="20"/>
      <x:c r="I57" s="15"/>
    </x:row>
    <x:row r="58" spans="1:20">
      <x:c r="B58" s="21" t="s">
        <x:v>185</x:v>
      </x:c>
      <x:c r="C58" s="21"/>
      <x:c r="D58" s="21"/>
      <x:c r="E58" s="21"/>
      <x:c r="F58" s="20"/>
      <x:c r="G58" s="20"/>
      <x:c r="H58" s="20"/>
      <x:c r="I58" s="15"/>
    </x:row>
    <x:row r="59" spans="1:20">
      <x:c r="B59" s="22"/>
      <x:c r="C59" s="22"/>
      <x:c r="D59" s="22"/>
      <x:c r="E59" s="22"/>
      <x:c r="F59" s="15"/>
      <x:c r="G59" s="15"/>
      <x:c r="H59" s="22">
        <x:f>H37+H41+H49+H56</x:f>
      </x:c>
      <x:c r="I59" s="15"/>
    </x:row>
    <x:row r="60" spans="1:20">
      <x:c r="H60" s="17">
        <x:f>H59 - H35</x:f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E03EE3A-6CB5-BC40-9320-0C18014C7504}" mc:Ignorable="x14ac xr xr2 xr3">
  <x:sheetPr>
    <x:outlinePr summaryBelow="1" summaryRight="1"/>
  </x:sheetPr>
  <x:dimension ref="A1:T31"/>
  <x:sheetViews>
    <x:sheetView topLeftCell="A29" zoomScale="105" zoomScaleNormal="88" workbookViewId="0">
      <x:selection activeCell="A32" sqref="A32 A32:J59"/>
    </x:sheetView>
  </x:sheetViews>
  <x:sheetFormatPr defaultColWidth="11.210625" defaultRowHeight="15.75"/>
  <x:cols>
    <x:col min="1" max="1" width="11.210625" style="0" customWidth="1"/>
    <x:col min="2" max="2" width="35.375" style="0" customWidth="1"/>
    <x:col min="3" max="3" width="3.625" style="0" customWidth="1"/>
    <x:col min="4" max="4" width="3" style="0" customWidth="1"/>
    <x:col min="5" max="5" width="1.875" style="0" customWidth="1"/>
  </x:cols>
  <x:sheetData>
    <x:row r="1" spans="1:2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</x:row>
    <x:row r="2" spans="1:20">
      <x:c r="A2" s="0">
        <x:v>1</x:v>
      </x:c>
      <x:c r="B2" s="0" t="s">
        <x:v>61</x:v>
      </x:c>
      <x:c r="C2" s="0" t="s">
        <x:v>21</x:v>
      </x:c>
      <x:c r="D2" s="0" t="s">
        <x:v>22</x:v>
      </x:c>
      <x:c r="E2" s="0">
        <x:v>1</x:v>
      </x:c>
      <x:c r="F2" s="0">
        <x:v>1</x:v>
      </x:c>
      <x:c r="G2" s="8">
        <x:v>225</x:v>
      </x:c>
      <x:c r="H2" s="8">
        <x:v>225</x:v>
      </x:c>
      <x:c r="I2" s="0" t="s">
        <x:v>23</x:v>
      </x:c>
      <x:c r="K2" s="8">
        <x:v>225</x:v>
      </x:c>
      <x:c r="L2" s="0" t="s">
        <x:v>24</x:v>
      </x:c>
      <x:c r="M2" s="0" t="s">
        <x:v>25</x:v>
      </x:c>
      <x:c r="N2" s="0" t="s">
        <x:v>26</x:v>
      </x:c>
      <x:c r="P2" s="0" t="s">
        <x:v>27</x:v>
      </x:c>
    </x:row>
    <x:row r="3" spans="1:20">
      <x:c r="A3" s="0">
        <x:v>2</x:v>
      </x:c>
      <x:c r="B3" s="0" t="s">
        <x:v>74</x:v>
      </x:c>
      <x:c r="C3" s="0" t="s">
        <x:v>21</x:v>
      </x:c>
      <x:c r="D3" s="0" t="s">
        <x:v>22</x:v>
      </x:c>
      <x:c r="E3" s="0">
        <x:v>1</x:v>
      </x:c>
      <x:c r="F3" s="0">
        <x:v>1</x:v>
      </x:c>
      <x:c r="G3" s="8">
        <x:v>250</x:v>
      </x:c>
      <x:c r="H3" s="8">
        <x:v>250</x:v>
      </x:c>
      <x:c r="I3" s="0" t="s">
        <x:v>23</x:v>
      </x:c>
      <x:c r="K3" s="8">
        <x:v>250</x:v>
      </x:c>
      <x:c r="L3" s="0" t="s">
        <x:v>24</x:v>
      </x:c>
      <x:c r="M3" s="0" t="s">
        <x:v>25</x:v>
      </x:c>
      <x:c r="N3" s="0" t="s">
        <x:v>26</x:v>
      </x:c>
      <x:c r="P3" s="0" t="s">
        <x:v>27</x:v>
      </x:c>
    </x:row>
    <x:row r="4" spans="1:20">
      <x:c r="A4" s="0">
        <x:v>3</x:v>
      </x:c>
      <x:c r="B4" s="0" t="s">
        <x:v>29</x:v>
      </x:c>
      <x:c r="C4" s="0" t="s">
        <x:v>21</x:v>
      </x:c>
      <x:c r="D4" s="0" t="s">
        <x:v>22</x:v>
      </x:c>
      <x:c r="E4" s="0">
        <x:v>1</x:v>
      </x:c>
      <x:c r="F4" s="0">
        <x:v>6</x:v>
      </x:c>
      <x:c r="G4" s="8">
        <x:v>243.67</x:v>
      </x:c>
      <x:c r="H4" s="8">
        <x:v>1462</x:v>
      </x:c>
      <x:c r="I4" s="0" t="s">
        <x:v>23</x:v>
      </x:c>
      <x:c r="K4" s="8">
        <x:v>1462</x:v>
      </x:c>
      <x:c r="L4" s="0" t="s">
        <x:v>24</x:v>
      </x:c>
      <x:c r="M4" s="0" t="s">
        <x:v>25</x:v>
      </x:c>
      <x:c r="N4" s="0" t="s">
        <x:v>26</x:v>
      </x:c>
      <x:c r="P4" s="0" t="s">
        <x:v>27</x:v>
      </x:c>
    </x:row>
    <x:row r="5" spans="1:20">
      <x:c r="A5" s="0">
        <x:v>4</x:v>
      </x:c>
      <x:c r="B5" s="0" t="s">
        <x:v>30</x:v>
      </x:c>
      <x:c r="C5" s="0" t="s">
        <x:v>21</x:v>
      </x:c>
      <x:c r="D5" s="0" t="s">
        <x:v>22</x:v>
      </x:c>
      <x:c r="E5" s="0">
        <x:v>1</x:v>
      </x:c>
      <x:c r="F5" s="0">
        <x:v>6</x:v>
      </x:c>
      <x:c r="G5" s="8">
        <x:v>330</x:v>
      </x:c>
      <x:c r="H5" s="8">
        <x:v>1980</x:v>
      </x:c>
      <x:c r="I5" s="0" t="s">
        <x:v>23</x:v>
      </x:c>
      <x:c r="K5" s="8">
        <x:v>1980</x:v>
      </x:c>
      <x:c r="L5" s="0" t="s">
        <x:v>24</x:v>
      </x:c>
      <x:c r="M5" s="0" t="s">
        <x:v>25</x:v>
      </x:c>
      <x:c r="N5" s="0" t="s">
        <x:v>26</x:v>
      </x:c>
      <x:c r="P5" s="0" t="s">
        <x:v>27</x:v>
      </x:c>
    </x:row>
    <x:row r="6" spans="1:20">
      <x:c r="A6" s="0">
        <x:v>5</x:v>
      </x:c>
      <x:c r="B6" s="0" t="s">
        <x:v>31</x:v>
      </x:c>
      <x:c r="C6" s="0" t="s">
        <x:v>21</x:v>
      </x:c>
      <x:c r="D6" s="0" t="s">
        <x:v>22</x:v>
      </x:c>
      <x:c r="E6" s="0">
        <x:v>1</x:v>
      </x:c>
      <x:c r="F6" s="0">
        <x:v>1</x:v>
      </x:c>
      <x:c r="G6" s="8">
        <x:v>100</x:v>
      </x:c>
      <x:c r="H6" s="8">
        <x:v>100</x:v>
      </x:c>
      <x:c r="I6" s="0" t="s">
        <x:v>23</x:v>
      </x:c>
      <x:c r="K6" s="8">
        <x:v>100</x:v>
      </x:c>
      <x:c r="L6" s="0" t="s">
        <x:v>24</x:v>
      </x:c>
      <x:c r="M6" s="0" t="s">
        <x:v>25</x:v>
      </x:c>
      <x:c r="N6" s="0" t="s">
        <x:v>26</x:v>
      </x:c>
      <x:c r="P6" s="0" t="s">
        <x:v>27</x:v>
      </x:c>
    </x:row>
    <x:row r="7" spans="1:20">
      <x:c r="A7" s="0">
        <x:v>6</x:v>
      </x:c>
      <x:c r="B7" s="0" t="s">
        <x:v>82</x:v>
      </x:c>
      <x:c r="C7" s="0" t="s">
        <x:v>21</x:v>
      </x:c>
      <x:c r="D7" s="0" t="s">
        <x:v>34</x:v>
      </x:c>
      <x:c r="E7" s="0">
        <x:v>1</x:v>
      </x:c>
      <x:c r="F7" s="0">
        <x:v>0.25</x:v>
      </x:c>
      <x:c r="G7" s="8">
        <x:v>4980</x:v>
      </x:c>
      <x:c r="H7" s="8">
        <x:v>1245</x:v>
      </x:c>
      <x:c r="I7" s="0" t="s">
        <x:v>23</x:v>
      </x:c>
      <x:c r="K7" s="8">
        <x:v>1245</x:v>
      </x:c>
      <x:c r="L7" s="0" t="s">
        <x:v>24</x:v>
      </x:c>
      <x:c r="M7" s="0" t="s">
        <x:v>25</x:v>
      </x:c>
      <x:c r="N7" s="0" t="s">
        <x:v>26</x:v>
      </x:c>
      <x:c r="P7" s="0" t="s">
        <x:v>27</x:v>
      </x:c>
    </x:row>
    <x:row r="8" spans="1:20">
      <x:c r="A8" s="0">
        <x:v>7</x:v>
      </x:c>
      <x:c r="B8" s="0" t="s">
        <x:v>33</x:v>
      </x:c>
      <x:c r="C8" s="0" t="s">
        <x:v>21</x:v>
      </x:c>
      <x:c r="D8" s="0" t="s">
        <x:v>34</x:v>
      </x:c>
      <x:c r="E8" s="0">
        <x:v>1</x:v>
      </x:c>
      <x:c r="F8" s="0">
        <x:v>0.2</x:v>
      </x:c>
      <x:c r="G8" s="8">
        <x:v>3472.6</x:v>
      </x:c>
      <x:c r="H8" s="8">
        <x:v>694.52</x:v>
      </x:c>
      <x:c r="I8" s="0" t="s">
        <x:v>23</x:v>
      </x:c>
      <x:c r="K8" s="8">
        <x:v>694.52</x:v>
      </x:c>
      <x:c r="L8" s="0" t="s">
        <x:v>24</x:v>
      </x:c>
      <x:c r="M8" s="0" t="s">
        <x:v>25</x:v>
      </x:c>
      <x:c r="N8" s="0" t="s">
        <x:v>26</x:v>
      </x:c>
      <x:c r="P8" s="0" t="s">
        <x:v>27</x:v>
      </x:c>
    </x:row>
    <x:row r="9" spans="1:20">
      <x:c r="A9" s="0">
        <x:v>8</x:v>
      </x:c>
      <x:c r="B9" s="0" t="s">
        <x:v>102</x:v>
      </x:c>
      <x:c r="C9" s="0" t="s">
        <x:v>21</x:v>
      </x:c>
      <x:c r="D9" s="0" t="s">
        <x:v>34</x:v>
      </x:c>
      <x:c r="E9" s="0">
        <x:v>1</x:v>
      </x:c>
      <x:c r="F9" s="0">
        <x:v>0.25</x:v>
      </x:c>
      <x:c r="G9" s="8">
        <x:v>4980</x:v>
      </x:c>
      <x:c r="H9" s="8">
        <x:v>1245</x:v>
      </x:c>
      <x:c r="I9" s="0" t="s">
        <x:v>23</x:v>
      </x:c>
      <x:c r="K9" s="8">
        <x:v>1245</x:v>
      </x:c>
      <x:c r="L9" s="0" t="s">
        <x:v>24</x:v>
      </x:c>
      <x:c r="M9" s="0" t="s">
        <x:v>25</x:v>
      </x:c>
      <x:c r="N9" s="0" t="s">
        <x:v>26</x:v>
      </x:c>
      <x:c r="P9" s="0" t="s">
        <x:v>27</x:v>
      </x:c>
    </x:row>
    <x:row r="10" spans="1:20">
      <x:c r="A10" s="0">
        <x:v>9</x:v>
      </x:c>
      <x:c r="B10" s="0" t="s">
        <x:v>35</x:v>
      </x:c>
      <x:c r="C10" s="0" t="s">
        <x:v>21</x:v>
      </x:c>
      <x:c r="D10" s="0" t="s">
        <x:v>34</x:v>
      </x:c>
      <x:c r="E10" s="0">
        <x:v>1</x:v>
      </x:c>
      <x:c r="F10" s="0">
        <x:v>0.25</x:v>
      </x:c>
      <x:c r="G10" s="8">
        <x:v>3380</x:v>
      </x:c>
      <x:c r="H10" s="8">
        <x:v>845</x:v>
      </x:c>
      <x:c r="I10" s="0" t="s">
        <x:v>23</x:v>
      </x:c>
      <x:c r="K10" s="8">
        <x:v>845</x:v>
      </x:c>
      <x:c r="L10" s="0" t="s">
        <x:v>24</x:v>
      </x:c>
      <x:c r="M10" s="0" t="s">
        <x:v>25</x:v>
      </x:c>
      <x:c r="N10" s="0" t="s">
        <x:v>26</x:v>
      </x:c>
      <x:c r="P10" s="0" t="s">
        <x:v>27</x:v>
      </x:c>
    </x:row>
    <x:row r="11" spans="1:20">
      <x:c r="A11" s="0">
        <x:v>10</x:v>
      </x:c>
      <x:c r="B11" s="0" t="s">
        <x:v>70</x:v>
      </x:c>
      <x:c r="C11" s="0" t="s">
        <x:v>21</x:v>
      </x:c>
      <x:c r="D11" s="0" t="s">
        <x:v>22</x:v>
      </x:c>
      <x:c r="E11" s="0">
        <x:v>1</x:v>
      </x:c>
      <x:c r="F11" s="0">
        <x:v>5</x:v>
      </x:c>
      <x:c r="G11" s="8">
        <x:v>250</x:v>
      </x:c>
      <x:c r="H11" s="8">
        <x:v>1250</x:v>
      </x:c>
      <x:c r="I11" s="0" t="s">
        <x:v>23</x:v>
      </x:c>
      <x:c r="K11" s="8">
        <x:v>1250</x:v>
      </x:c>
      <x:c r="L11" s="0" t="s">
        <x:v>24</x:v>
      </x:c>
      <x:c r="M11" s="0" t="s">
        <x:v>25</x:v>
      </x:c>
      <x:c r="N11" s="0" t="s">
        <x:v>26</x:v>
      </x:c>
      <x:c r="P11" s="0" t="s">
        <x:v>27</x:v>
      </x:c>
    </x:row>
    <x:row r="12" spans="1:20">
      <x:c r="A12" s="0">
        <x:v>11</x:v>
      </x:c>
      <x:c r="B12" s="0" t="s">
        <x:v>37</x:v>
      </x:c>
      <x:c r="C12" s="0" t="s">
        <x:v>21</x:v>
      </x:c>
      <x:c r="D12" s="0" t="s">
        <x:v>22</x:v>
      </x:c>
      <x:c r="E12" s="0">
        <x:v>1</x:v>
      </x:c>
      <x:c r="F12" s="0">
        <x:v>1</x:v>
      </x:c>
      <x:c r="G12" s="8">
        <x:v>331.22</x:v>
      </x:c>
      <x:c r="H12" s="8">
        <x:v>331.22</x:v>
      </x:c>
      <x:c r="I12" s="0" t="s">
        <x:v>23</x:v>
      </x:c>
      <x:c r="K12" s="8">
        <x:v>331.22</x:v>
      </x:c>
      <x:c r="L12" s="0" t="s">
        <x:v>24</x:v>
      </x:c>
      <x:c r="M12" s="0" t="s">
        <x:v>25</x:v>
      </x:c>
      <x:c r="N12" s="0" t="s">
        <x:v>26</x:v>
      </x:c>
      <x:c r="P12" s="0" t="s">
        <x:v>27</x:v>
      </x:c>
    </x:row>
    <x:row r="13" spans="1:20">
      <x:c r="A13" s="0">
        <x:v>12</x:v>
      </x:c>
      <x:c r="B13" s="0" t="s">
        <x:v>38</x:v>
      </x:c>
      <x:c r="C13" s="0" t="s">
        <x:v>21</x:v>
      </x:c>
      <x:c r="D13" s="0" t="s">
        <x:v>22</x:v>
      </x:c>
      <x:c r="E13" s="0">
        <x:v>1</x:v>
      </x:c>
      <x:c r="F13" s="0">
        <x:v>1</x:v>
      </x:c>
      <x:c r="G13" s="8">
        <x:v>420</x:v>
      </x:c>
      <x:c r="H13" s="8">
        <x:v>420</x:v>
      </x:c>
      <x:c r="I13" s="0" t="s">
        <x:v>23</x:v>
      </x:c>
      <x:c r="K13" s="8">
        <x:v>420</x:v>
      </x:c>
      <x:c r="L13" s="0" t="s">
        <x:v>24</x:v>
      </x:c>
      <x:c r="M13" s="0" t="s">
        <x:v>25</x:v>
      </x:c>
      <x:c r="N13" s="0" t="s">
        <x:v>26</x:v>
      </x:c>
      <x:c r="P13" s="0" t="s">
        <x:v>27</x:v>
      </x:c>
    </x:row>
    <x:row r="14" spans="1:20">
      <x:c r="A14" s="0">
        <x:v>13</x:v>
      </x:c>
      <x:c r="B14" s="0" t="s">
        <x:v>141</x:v>
      </x:c>
      <x:c r="C14" s="0" t="s">
        <x:v>21</x:v>
      </x:c>
      <x:c r="D14" s="0" t="s">
        <x:v>22</x:v>
      </x:c>
      <x:c r="E14" s="0">
        <x:v>1</x:v>
      </x:c>
      <x:c r="F14" s="0">
        <x:v>1</x:v>
      </x:c>
      <x:c r="G14" s="8">
        <x:v>420</x:v>
      </x:c>
      <x:c r="H14" s="8">
        <x:v>420</x:v>
      </x:c>
      <x:c r="I14" s="0" t="s">
        <x:v>23</x:v>
      </x:c>
      <x:c r="K14" s="8">
        <x:v>420</x:v>
      </x:c>
      <x:c r="L14" s="0" t="s">
        <x:v>24</x:v>
      </x:c>
      <x:c r="M14" s="0" t="s">
        <x:v>25</x:v>
      </x:c>
      <x:c r="N14" s="0" t="s">
        <x:v>26</x:v>
      </x:c>
      <x:c r="P14" s="0" t="s">
        <x:v>27</x:v>
      </x:c>
    </x:row>
    <x:row r="15" spans="1:20">
      <x:c r="A15" s="0">
        <x:v>14</x:v>
      </x:c>
      <x:c r="B15" s="0" t="s">
        <x:v>103</x:v>
      </x:c>
      <x:c r="C15" s="0" t="s">
        <x:v>21</x:v>
      </x:c>
      <x:c r="D15" s="0" t="s">
        <x:v>22</x:v>
      </x:c>
      <x:c r="E15" s="0">
        <x:v>1</x:v>
      </x:c>
      <x:c r="F15" s="0">
        <x:v>1</x:v>
      </x:c>
      <x:c r="G15" s="8">
        <x:v>420</x:v>
      </x:c>
      <x:c r="H15" s="8">
        <x:v>420</x:v>
      </x:c>
      <x:c r="I15" s="0" t="s">
        <x:v>23</x:v>
      </x:c>
      <x:c r="K15" s="8">
        <x:v>420</x:v>
      </x:c>
      <x:c r="L15" s="0" t="s">
        <x:v>24</x:v>
      </x:c>
      <x:c r="M15" s="0" t="s">
        <x:v>25</x:v>
      </x:c>
      <x:c r="N15" s="0" t="s">
        <x:v>26</x:v>
      </x:c>
      <x:c r="P15" s="0" t="s">
        <x:v>27</x:v>
      </x:c>
    </x:row>
    <x:row r="16" spans="1:20">
      <x:c r="A16" s="0">
        <x:v>15</x:v>
      </x:c>
      <x:c r="B16" s="0" t="s">
        <x:v>39</x:v>
      </x:c>
      <x:c r="C16" s="0" t="s">
        <x:v>21</x:v>
      </x:c>
      <x:c r="D16" s="0" t="s">
        <x:v>22</x:v>
      </x:c>
      <x:c r="E16" s="0">
        <x:v>1</x:v>
      </x:c>
      <x:c r="F16" s="0">
        <x:v>5</x:v>
      </x:c>
      <x:c r="G16" s="8">
        <x:v>242.5</x:v>
      </x:c>
      <x:c r="H16" s="8">
        <x:v>1212.5</x:v>
      </x:c>
      <x:c r="I16" s="0" t="s">
        <x:v>23</x:v>
      </x:c>
      <x:c r="K16" s="8">
        <x:v>1212.5</x:v>
      </x:c>
      <x:c r="L16" s="0" t="s">
        <x:v>24</x:v>
      </x:c>
      <x:c r="M16" s="0" t="s">
        <x:v>25</x:v>
      </x:c>
      <x:c r="N16" s="0" t="s">
        <x:v>26</x:v>
      </x:c>
      <x:c r="P16" s="0" t="s">
        <x:v>27</x:v>
      </x:c>
    </x:row>
    <x:row r="17" spans="1:20">
      <x:c r="A17" s="0">
        <x:v>16</x:v>
      </x:c>
      <x:c r="B17" s="0" t="s">
        <x:v>40</x:v>
      </x:c>
      <x:c r="C17" s="0" t="s">
        <x:v>21</x:v>
      </x:c>
      <x:c r="D17" s="0" t="s">
        <x:v>22</x:v>
      </x:c>
      <x:c r="E17" s="0">
        <x:v>1</x:v>
      </x:c>
      <x:c r="F17" s="0">
        <x:v>2</x:v>
      </x:c>
      <x:c r="G17" s="8">
        <x:v>380</x:v>
      </x:c>
      <x:c r="H17" s="8">
        <x:v>760</x:v>
      </x:c>
      <x:c r="I17" s="0" t="s">
        <x:v>23</x:v>
      </x:c>
      <x:c r="K17" s="8">
        <x:v>760</x:v>
      </x:c>
      <x:c r="L17" s="0" t="s">
        <x:v>24</x:v>
      </x:c>
      <x:c r="M17" s="0" t="s">
        <x:v>25</x:v>
      </x:c>
      <x:c r="N17" s="0" t="s">
        <x:v>26</x:v>
      </x:c>
      <x:c r="P17" s="0" t="s">
        <x:v>27</x:v>
      </x:c>
    </x:row>
    <x:row r="18" spans="1:20">
      <x:c r="A18" s="0">
        <x:v>17</x:v>
      </x:c>
      <x:c r="B18" s="0" t="s">
        <x:v>42</x:v>
      </x:c>
      <x:c r="C18" s="0" t="s">
        <x:v>21</x:v>
      </x:c>
      <x:c r="D18" s="0" t="s">
        <x:v>22</x:v>
      </x:c>
      <x:c r="E18" s="0">
        <x:v>1</x:v>
      </x:c>
      <x:c r="F18" s="0">
        <x:v>1</x:v>
      </x:c>
      <x:c r="G18" s="8">
        <x:v>220</x:v>
      </x:c>
      <x:c r="H18" s="8">
        <x:v>220</x:v>
      </x:c>
      <x:c r="I18" s="0" t="s">
        <x:v>23</x:v>
      </x:c>
      <x:c r="K18" s="8">
        <x:v>220</x:v>
      </x:c>
      <x:c r="L18" s="0" t="s">
        <x:v>24</x:v>
      </x:c>
      <x:c r="M18" s="0" t="s">
        <x:v>25</x:v>
      </x:c>
      <x:c r="N18" s="0" t="s">
        <x:v>26</x:v>
      </x:c>
      <x:c r="P18" s="0" t="s">
        <x:v>27</x:v>
      </x:c>
    </x:row>
    <x:row r="19" spans="1:20">
      <x:c r="A19" s="0">
        <x:v>18</x:v>
      </x:c>
      <x:c r="B19" s="0" t="s">
        <x:v>127</x:v>
      </x:c>
      <x:c r="C19" s="0" t="s">
        <x:v>21</x:v>
      </x:c>
      <x:c r="D19" s="0" t="s">
        <x:v>22</x:v>
      </x:c>
      <x:c r="E19" s="0">
        <x:v>1</x:v>
      </x:c>
      <x:c r="F19" s="0">
        <x:v>1</x:v>
      </x:c>
      <x:c r="G19" s="8">
        <x:v>220</x:v>
      </x:c>
      <x:c r="H19" s="8">
        <x:v>220</x:v>
      </x:c>
      <x:c r="I19" s="0" t="s">
        <x:v>23</x:v>
      </x:c>
      <x:c r="K19" s="8">
        <x:v>220</x:v>
      </x:c>
      <x:c r="L19" s="0" t="s">
        <x:v>24</x:v>
      </x:c>
      <x:c r="M19" s="0" t="s">
        <x:v>25</x:v>
      </x:c>
      <x:c r="N19" s="0" t="s">
        <x:v>26</x:v>
      </x:c>
      <x:c r="P19" s="0" t="s">
        <x:v>27</x:v>
      </x:c>
    </x:row>
    <x:row r="20" spans="1:20">
      <x:c r="A20" s="0">
        <x:v>19</x:v>
      </x:c>
      <x:c r="B20" s="0" t="s">
        <x:v>45</x:v>
      </x:c>
      <x:c r="C20" s="0" t="s">
        <x:v>21</x:v>
      </x:c>
      <x:c r="D20" s="0" t="s">
        <x:v>22</x:v>
      </x:c>
      <x:c r="E20" s="0">
        <x:v>1</x:v>
      </x:c>
      <x:c r="F20" s="0">
        <x:v>2</x:v>
      </x:c>
      <x:c r="G20" s="8">
        <x:v>82.5</x:v>
      </x:c>
      <x:c r="H20" s="8">
        <x:v>165</x:v>
      </x:c>
      <x:c r="I20" s="0" t="s">
        <x:v>23</x:v>
      </x:c>
      <x:c r="K20" s="8">
        <x:v>165</x:v>
      </x:c>
      <x:c r="L20" s="0" t="s">
        <x:v>24</x:v>
      </x:c>
      <x:c r="M20" s="0" t="s">
        <x:v>25</x:v>
      </x:c>
      <x:c r="N20" s="0" t="s">
        <x:v>26</x:v>
      </x:c>
      <x:c r="P20" s="0" t="s">
        <x:v>27</x:v>
      </x:c>
    </x:row>
    <x:row r="21" spans="1:20">
      <x:c r="A21" s="0">
        <x:v>20</x:v>
      </x:c>
      <x:c r="B21" s="0" t="s">
        <x:v>47</x:v>
      </x:c>
      <x:c r="C21" s="0" t="s">
        <x:v>21</x:v>
      </x:c>
      <x:c r="D21" s="0" t="s">
        <x:v>22</x:v>
      </x:c>
      <x:c r="E21" s="0">
        <x:v>1</x:v>
      </x:c>
      <x:c r="F21" s="0">
        <x:v>4</x:v>
      </x:c>
      <x:c r="G21" s="8">
        <x:v>265.25</x:v>
      </x:c>
      <x:c r="H21" s="8">
        <x:v>1061</x:v>
      </x:c>
      <x:c r="I21" s="0" t="s">
        <x:v>23</x:v>
      </x:c>
      <x:c r="K21" s="8">
        <x:v>1061</x:v>
      </x:c>
      <x:c r="L21" s="0" t="s">
        <x:v>24</x:v>
      </x:c>
      <x:c r="M21" s="0" t="s">
        <x:v>25</x:v>
      </x:c>
      <x:c r="N21" s="0" t="s">
        <x:v>26</x:v>
      </x:c>
      <x:c r="P21" s="0" t="s">
        <x:v>27</x:v>
      </x:c>
    </x:row>
    <x:row r="22" spans="1:20">
      <x:c r="A22" s="0">
        <x:v>21</x:v>
      </x:c>
      <x:c r="B22" s="0" t="s">
        <x:v>71</x:v>
      </x:c>
      <x:c r="C22" s="0" t="s">
        <x:v>21</x:v>
      </x:c>
      <x:c r="D22" s="0" t="s">
        <x:v>22</x:v>
      </x:c>
      <x:c r="E22" s="0">
        <x:v>1</x:v>
      </x:c>
      <x:c r="F22" s="0">
        <x:v>1</x:v>
      </x:c>
      <x:c r="G22" s="8">
        <x:v>150</x:v>
      </x:c>
      <x:c r="H22" s="8">
        <x:v>150</x:v>
      </x:c>
      <x:c r="I22" s="0" t="s">
        <x:v>23</x:v>
      </x:c>
      <x:c r="K22" s="8">
        <x:v>150</x:v>
      </x:c>
      <x:c r="L22" s="0" t="s">
        <x:v>24</x:v>
      </x:c>
      <x:c r="M22" s="0" t="s">
        <x:v>25</x:v>
      </x:c>
      <x:c r="N22" s="0" t="s">
        <x:v>26</x:v>
      </x:c>
      <x:c r="P22" s="0" t="s">
        <x:v>27</x:v>
      </x:c>
    </x:row>
    <x:row r="23" spans="1:20">
      <x:c r="A23" s="0">
        <x:v>22</x:v>
      </x:c>
      <x:c r="B23" s="0" t="s">
        <x:v>50</x:v>
      </x:c>
      <x:c r="C23" s="0" t="s">
        <x:v>21</x:v>
      </x:c>
      <x:c r="D23" s="0" t="s">
        <x:v>22</x:v>
      </x:c>
      <x:c r="E23" s="0">
        <x:v>1</x:v>
      </x:c>
      <x:c r="F23" s="0">
        <x:v>5</x:v>
      </x:c>
      <x:c r="G23" s="8">
        <x:v>180</x:v>
      </x:c>
      <x:c r="H23" s="8">
        <x:v>900</x:v>
      </x:c>
      <x:c r="I23" s="0" t="s">
        <x:v>23</x:v>
      </x:c>
      <x:c r="K23" s="8">
        <x:v>900</x:v>
      </x:c>
      <x:c r="L23" s="0" t="s">
        <x:v>24</x:v>
      </x:c>
      <x:c r="M23" s="0" t="s">
        <x:v>25</x:v>
      </x:c>
      <x:c r="N23" s="0" t="s">
        <x:v>26</x:v>
      </x:c>
      <x:c r="P23" s="0" t="s">
        <x:v>27</x:v>
      </x:c>
    </x:row>
    <x:row r="24" spans="1:20">
      <x:c r="A24" s="0">
        <x:v>23</x:v>
      </x:c>
      <x:c r="B24" s="0" t="s">
        <x:v>51</x:v>
      </x:c>
      <x:c r="C24" s="0" t="s">
        <x:v>21</x:v>
      </x:c>
      <x:c r="D24" s="0" t="s">
        <x:v>22</x:v>
      </x:c>
      <x:c r="E24" s="0">
        <x:v>1</x:v>
      </x:c>
      <x:c r="F24" s="0">
        <x:v>5</x:v>
      </x:c>
      <x:c r="G24" s="8">
        <x:v>59.36</x:v>
      </x:c>
      <x:c r="H24" s="8">
        <x:v>296.78</x:v>
      </x:c>
      <x:c r="I24" s="0" t="s">
        <x:v>23</x:v>
      </x:c>
      <x:c r="K24" s="8">
        <x:v>296.78</x:v>
      </x:c>
      <x:c r="L24" s="0" t="s">
        <x:v>24</x:v>
      </x:c>
      <x:c r="M24" s="0" t="s">
        <x:v>25</x:v>
      </x:c>
      <x:c r="N24" s="0" t="s">
        <x:v>26</x:v>
      </x:c>
      <x:c r="P24" s="0" t="s">
        <x:v>27</x:v>
      </x:c>
    </x:row>
    <x:row r="25" spans="1:20">
      <x:c r="A25" s="0">
        <x:v>24</x:v>
      </x:c>
      <x:c r="B25" s="0" t="s">
        <x:v>53</x:v>
      </x:c>
      <x:c r="C25" s="0" t="s">
        <x:v>21</x:v>
      </x:c>
      <x:c r="D25" s="0" t="s">
        <x:v>22</x:v>
      </x:c>
      <x:c r="E25" s="0">
        <x:v>1</x:v>
      </x:c>
      <x:c r="F25" s="0">
        <x:v>4</x:v>
      </x:c>
      <x:c r="G25" s="8">
        <x:v>40</x:v>
      </x:c>
      <x:c r="H25" s="8">
        <x:v>160</x:v>
      </x:c>
      <x:c r="I25" s="0" t="s">
        <x:v>23</x:v>
      </x:c>
      <x:c r="K25" s="8">
        <x:v>160</x:v>
      </x:c>
      <x:c r="L25" s="0" t="s">
        <x:v>24</x:v>
      </x:c>
      <x:c r="M25" s="0" t="s">
        <x:v>25</x:v>
      </x:c>
      <x:c r="N25" s="0" t="s">
        <x:v>26</x:v>
      </x:c>
      <x:c r="P25" s="0" t="s">
        <x:v>27</x:v>
      </x:c>
    </x:row>
    <x:row r="26" spans="1:20">
      <x:c r="A26" s="0">
        <x:v>25</x:v>
      </x:c>
      <x:c r="B26" s="0" t="s">
        <x:v>55</x:v>
      </x:c>
      <x:c r="C26" s="0" t="s">
        <x:v>21</x:v>
      </x:c>
      <x:c r="D26" s="0" t="s">
        <x:v>22</x:v>
      </x:c>
      <x:c r="E26" s="0">
        <x:v>1</x:v>
      </x:c>
      <x:c r="F26" s="0">
        <x:v>3</x:v>
      </x:c>
      <x:c r="G26" s="8">
        <x:v>350</x:v>
      </x:c>
      <x:c r="H26" s="8">
        <x:v>1050</x:v>
      </x:c>
      <x:c r="I26" s="0" t="s">
        <x:v>23</x:v>
      </x:c>
      <x:c r="K26" s="8">
        <x:v>1050</x:v>
      </x:c>
      <x:c r="L26" s="0" t="s">
        <x:v>24</x:v>
      </x:c>
      <x:c r="M26" s="0" t="s">
        <x:v>25</x:v>
      </x:c>
      <x:c r="N26" s="0" t="s">
        <x:v>26</x:v>
      </x:c>
      <x:c r="P26" s="0" t="s">
        <x:v>27</x:v>
      </x:c>
    </x:row>
    <x:row r="27" spans="1:20">
      <x:c r="A27" s="0">
        <x:v>26</x:v>
      </x:c>
      <x:c r="B27" s="0" t="s">
        <x:v>56</x:v>
      </x:c>
      <x:c r="C27" s="0" t="s">
        <x:v>21</x:v>
      </x:c>
      <x:c r="D27" s="0" t="s">
        <x:v>22</x:v>
      </x:c>
      <x:c r="E27" s="0">
        <x:v>1</x:v>
      </x:c>
      <x:c r="F27" s="0">
        <x:v>2</x:v>
      </x:c>
      <x:c r="G27" s="8">
        <x:v>350</x:v>
      </x:c>
      <x:c r="H27" s="8">
        <x:v>700</x:v>
      </x:c>
      <x:c r="I27" s="0" t="s">
        <x:v>23</x:v>
      </x:c>
      <x:c r="K27" s="8">
        <x:v>700</x:v>
      </x:c>
      <x:c r="L27" s="0" t="s">
        <x:v>24</x:v>
      </x:c>
      <x:c r="M27" s="0" t="s">
        <x:v>25</x:v>
      </x:c>
      <x:c r="N27" s="0" t="s">
        <x:v>26</x:v>
      </x:c>
      <x:c r="P27" s="0" t="s">
        <x:v>27</x:v>
      </x:c>
    </x:row>
    <x:row r="28" spans="1:20">
      <x:c r="A28" s="0">
        <x:v>27</x:v>
      </x:c>
      <x:c r="B28" s="0" t="s">
        <x:v>57</x:v>
      </x:c>
      <x:c r="C28" s="0" t="s">
        <x:v>21</x:v>
      </x:c>
      <x:c r="D28" s="0" t="s">
        <x:v>22</x:v>
      </x:c>
      <x:c r="E28" s="0">
        <x:v>1</x:v>
      </x:c>
      <x:c r="F28" s="0">
        <x:v>6</x:v>
      </x:c>
      <x:c r="G28" s="8">
        <x:v>145.5</x:v>
      </x:c>
      <x:c r="H28" s="8">
        <x:v>873</x:v>
      </x:c>
      <x:c r="I28" s="0" t="s">
        <x:v>23</x:v>
      </x:c>
      <x:c r="K28" s="8">
        <x:v>873</x:v>
      </x:c>
      <x:c r="L28" s="0" t="s">
        <x:v>24</x:v>
      </x:c>
      <x:c r="M28" s="0" t="s">
        <x:v>25</x:v>
      </x:c>
      <x:c r="N28" s="0" t="s">
        <x:v>26</x:v>
      </x:c>
      <x:c r="P28" s="0" t="s">
        <x:v>27</x:v>
      </x:c>
    </x:row>
    <x:row r="29" spans="1:20">
      <x:c r="A29" s="0">
        <x:v>28</x:v>
      </x:c>
      <x:c r="B29" s="0" t="s">
        <x:v>58</x:v>
      </x:c>
      <x:c r="C29" s="0" t="s">
        <x:v>21</x:v>
      </x:c>
      <x:c r="D29" s="0" t="s">
        <x:v>22</x:v>
      </x:c>
      <x:c r="E29" s="0">
        <x:v>1</x:v>
      </x:c>
      <x:c r="F29" s="0">
        <x:v>1</x:v>
      </x:c>
      <x:c r="G29" s="8">
        <x:v>280</x:v>
      </x:c>
      <x:c r="H29" s="8">
        <x:v>280</x:v>
      </x:c>
      <x:c r="I29" s="0" t="s">
        <x:v>23</x:v>
      </x:c>
      <x:c r="K29" s="8">
        <x:v>280</x:v>
      </x:c>
      <x:c r="L29" s="0" t="s">
        <x:v>24</x:v>
      </x:c>
      <x:c r="M29" s="0" t="s">
        <x:v>25</x:v>
      </x:c>
      <x:c r="N29" s="0" t="s">
        <x:v>26</x:v>
      </x:c>
      <x:c r="P29" s="0" t="s">
        <x:v>27</x:v>
      </x:c>
    </x:row>
    <x:row r="30" spans="1:20">
      <x:c r="A30" s="0">
        <x:v>29</x:v>
      </x:c>
      <x:c r="B30" s="0" t="s">
        <x:v>111</x:v>
      </x:c>
      <x:c r="C30" s="0" t="s">
        <x:v>21</x:v>
      </x:c>
      <x:c r="D30" s="0" t="s">
        <x:v>34</x:v>
      </x:c>
      <x:c r="E30" s="0">
        <x:v>1</x:v>
      </x:c>
      <x:c r="F30" s="0">
        <x:v>0.1</x:v>
      </x:c>
      <x:c r="G30" s="8">
        <x:v>2700</x:v>
      </x:c>
      <x:c r="H30" s="8">
        <x:v>270</x:v>
      </x:c>
      <x:c r="I30" s="0" t="s">
        <x:v>23</x:v>
      </x:c>
      <x:c r="K30" s="8">
        <x:v>270</x:v>
      </x:c>
      <x:c r="L30" s="0" t="s">
        <x:v>24</x:v>
      </x:c>
      <x:c r="M30" s="0" t="s">
        <x:v>25</x:v>
      </x:c>
      <x:c r="N30" s="0" t="s">
        <x:v>26</x:v>
      </x:c>
      <x:c r="P30" s="0" t="s">
        <x:v>27</x:v>
      </x:c>
    </x:row>
    <x:row r="31" spans="1:20">
      <x:c r="A31" s="0">
        <x:v>30</x:v>
      </x:c>
      <x:c r="B31" s="0" t="s">
        <x:v>60</x:v>
      </x:c>
      <x:c r="C31" s="0" t="s">
        <x:v>21</x:v>
      </x:c>
      <x:c r="D31" s="0" t="s">
        <x:v>22</x:v>
      </x:c>
      <x:c r="E31" s="0">
        <x:v>1</x:v>
      </x:c>
      <x:c r="F31" s="0">
        <x:v>3</x:v>
      </x:c>
      <x:c r="G31" s="8">
        <x:v>148.33</x:v>
      </x:c>
      <x:c r="H31" s="8">
        <x:v>445</x:v>
      </x:c>
      <x:c r="I31" s="0" t="s">
        <x:v>23</x:v>
      </x:c>
      <x:c r="K31" s="8">
        <x:v>445</x:v>
      </x:c>
      <x:c r="L31" s="0" t="s">
        <x:v>24</x:v>
      </x:c>
      <x:c r="M31" s="0" t="s">
        <x:v>25</x:v>
      </x:c>
      <x:c r="N31" s="0" t="s">
        <x:v>26</x:v>
      </x:c>
      <x:c r="P31" s="0" t="s">
        <x:v>27</x:v>
      </x:c>
    </x:row>
    <x:row r="32" spans="1:20">
      <x:c r="H32" s="18">
        <x:f>SUM(H2:H31)</x:f>
      </x:c>
    </x:row>
    <x:row r="34" spans="1:20">
      <x:c r="B34" s="19" t="s">
        <x:v>163</x:v>
      </x:c>
      <x:c r="C34" s="20"/>
      <x:c r="D34" s="20"/>
      <x:c r="E34" s="20"/>
      <x:c r="F34" s="20"/>
      <x:c r="G34" s="20"/>
      <x:c r="H34" s="21">
        <x:f>SUM(H35:H37)</x:f>
      </x:c>
      <x:c r="I34" s="22" t="s">
        <x:v>164</x:v>
      </x:c>
    </x:row>
    <x:row r="35" spans="1:20">
      <x:c r="B35" s="21" t="s">
        <x:v>165</x:v>
      </x:c>
      <x:c r="C35" s="21"/>
      <x:c r="D35" s="21"/>
      <x:c r="E35" s="21"/>
      <x:c r="F35" s="20">
        <x:f>F2+F3+F4+F5+F11+F12+F16+F17+F21+F22+F28+F29+F31</x:f>
      </x:c>
      <x:c r="G35" s="20">
        <x:f>G2+G3+G4+G5+G11+G12+G16+G17+G21+G22+G28+G29+G31</x:f>
      </x:c>
      <x:c r="H35" s="20">
        <x:f>H2+H3+H4+H5+H11+H12+H16+H17+H21+H22+H28+H29+H31</x:f>
      </x:c>
      <x:c r="I35" s="15"/>
    </x:row>
    <x:row r="36" spans="1:20">
      <x:c r="B36" s="21" t="s">
        <x:v>166</x:v>
      </x:c>
      <x:c r="C36" s="21"/>
      <x:c r="D36" s="21"/>
      <x:c r="E36" s="21"/>
      <x:c r="F36" s="20"/>
      <x:c r="G36" s="20"/>
      <x:c r="H36" s="20"/>
      <x:c r="I36" s="15"/>
    </x:row>
    <x:row r="37" spans="1:20">
      <x:c r="B37" s="21" t="s">
        <x:v>167</x:v>
      </x:c>
      <x:c r="C37" s="21"/>
      <x:c r="D37" s="21"/>
      <x:c r="E37" s="21"/>
      <x:c r="F37" s="20">
        <x:f>F6+F24+F25</x:f>
      </x:c>
      <x:c r="G37" s="20">
        <x:f>G6+G24+G25</x:f>
      </x:c>
      <x:c r="H37" s="20">
        <x:f>H6+H24+H25</x:f>
      </x:c>
      <x:c r="I37" s="15"/>
    </x:row>
    <x:row r="38" spans="1:20">
      <x:c r="B38" s="19" t="s">
        <x:v>168</x:v>
      </x:c>
      <x:c r="C38" s="20"/>
      <x:c r="D38" s="20"/>
      <x:c r="E38" s="20"/>
      <x:c r="F38" s="20"/>
      <x:c r="G38" s="20"/>
      <x:c r="H38" s="21">
        <x:f>SUM(H39:H45)</x:f>
      </x:c>
      <x:c r="I38" s="22" t="s">
        <x:v>169</x:v>
      </x:c>
    </x:row>
    <x:row r="39" spans="1:20">
      <x:c r="B39" s="21" t="s">
        <x:v>170</x:v>
      </x:c>
      <x:c r="C39" s="21"/>
      <x:c r="D39" s="21"/>
      <x:c r="E39" s="21"/>
      <x:c r="F39" s="20">
        <x:f>F7+F8+F9+F10</x:f>
      </x:c>
      <x:c r="G39" s="20">
        <x:f>G7+G8+G9+G10</x:f>
      </x:c>
      <x:c r="H39" s="20">
        <x:f>H7+H8+H9+H10</x:f>
      </x:c>
      <x:c r="I39" s="15"/>
    </x:row>
    <x:row r="40" spans="1:20">
      <x:c r="B40" s="21" t="s">
        <x:v>171</x:v>
      </x:c>
      <x:c r="C40" s="21"/>
      <x:c r="D40" s="21"/>
      <x:c r="E40" s="21"/>
      <x:c r="F40" s="20">
        <x:f>F13+F14+F15</x:f>
      </x:c>
      <x:c r="G40" s="20">
        <x:f>G13+G14+G15</x:f>
      </x:c>
      <x:c r="H40" s="20">
        <x:f>H13+H14+H15</x:f>
      </x:c>
      <x:c r="I40" s="15"/>
    </x:row>
    <x:row r="41" spans="1:20">
      <x:c r="B41" s="21" t="s">
        <x:v>172</x:v>
      </x:c>
      <x:c r="C41" s="21"/>
      <x:c r="D41" s="21"/>
      <x:c r="E41" s="21"/>
      <x:c r="F41" s="20"/>
      <x:c r="G41" s="20"/>
      <x:c r="H41" s="20"/>
      <x:c r="I41" s="15"/>
    </x:row>
    <x:row r="42" spans="1:20">
      <x:c r="B42" s="21" t="s">
        <x:v>173</x:v>
      </x:c>
      <x:c r="C42" s="21"/>
      <x:c r="D42" s="21"/>
      <x:c r="E42" s="21"/>
      <x:c r="F42" s="20">
        <x:f>F30</x:f>
      </x:c>
      <x:c r="G42" s="20">
        <x:f>G30</x:f>
      </x:c>
      <x:c r="H42" s="20">
        <x:f>H30</x:f>
      </x:c>
      <x:c r="I42" s="15"/>
    </x:row>
    <x:row r="43" spans="1:20">
      <x:c r="B43" s="21" t="s">
        <x:v>174</x:v>
      </x:c>
      <x:c r="C43" s="21"/>
      <x:c r="D43" s="21"/>
      <x:c r="E43" s="21"/>
      <x:c r="F43" s="20"/>
      <x:c r="G43" s="20"/>
      <x:c r="H43" s="20"/>
      <x:c r="I43" s="15"/>
    </x:row>
    <x:row r="44" spans="1:20">
      <x:c r="B44" s="21" t="s">
        <x:v>70</x:v>
      </x:c>
      <x:c r="C44" s="21"/>
      <x:c r="D44" s="21"/>
      <x:c r="E44" s="21"/>
      <x:c r="F44" s="20"/>
      <x:c r="G44" s="20"/>
      <x:c r="H44" s="20"/>
      <x:c r="I44" s="15"/>
    </x:row>
    <x:row r="45" spans="1:20">
      <x:c r="B45" s="21" t="s">
        <x:v>175</x:v>
      </x:c>
      <x:c r="C45" s="21"/>
      <x:c r="D45" s="21"/>
      <x:c r="E45" s="21"/>
      <x:c r="F45" s="20"/>
      <x:c r="G45" s="20"/>
      <x:c r="H45" s="20"/>
      <x:c r="I45" s="15"/>
    </x:row>
    <x:row r="46" spans="1:20">
      <x:c r="B46" s="19" t="s">
        <x:v>176</x:v>
      </x:c>
      <x:c r="C46" s="20"/>
      <x:c r="D46" s="20"/>
      <x:c r="E46" s="20"/>
      <x:c r="F46" s="20"/>
      <x:c r="G46" s="20"/>
      <x:c r="H46" s="21">
        <x:f>SUM(H47:H52)</x:f>
      </x:c>
      <x:c r="I46" s="22" t="s">
        <x:v>177</x:v>
      </x:c>
    </x:row>
    <x:row r="47" spans="1:20">
      <x:c r="B47" s="21" t="s">
        <x:v>178</x:v>
      </x:c>
      <x:c r="C47" s="21"/>
      <x:c r="D47" s="21"/>
      <x:c r="E47" s="21"/>
      <x:c r="F47" s="20"/>
      <x:c r="G47" s="20"/>
      <x:c r="H47" s="20"/>
      <x:c r="I47" s="15"/>
    </x:row>
    <x:row r="48" spans="1:20">
      <x:c r="B48" s="21" t="s">
        <x:v>179</x:v>
      </x:c>
      <x:c r="C48" s="21"/>
      <x:c r="D48" s="21"/>
      <x:c r="E48" s="21"/>
      <x:c r="F48" s="20">
        <x:f>F26</x:f>
      </x:c>
      <x:c r="G48" s="20">
        <x:f>G26</x:f>
      </x:c>
      <x:c r="H48" s="20">
        <x:f>H26</x:f>
      </x:c>
      <x:c r="I48" s="15"/>
    </x:row>
    <x:row r="49" spans="1:20">
      <x:c r="B49" s="21" t="s">
        <x:v>54</x:v>
      </x:c>
      <x:c r="C49" s="21"/>
      <x:c r="D49" s="21"/>
      <x:c r="E49" s="21"/>
      <x:c r="F49" s="20"/>
      <x:c r="G49" s="20"/>
      <x:c r="H49" s="20"/>
      <x:c r="I49" s="15"/>
    </x:row>
    <x:row r="50" spans="1:20">
      <x:c r="B50" s="21" t="s">
        <x:v>180</x:v>
      </x:c>
      <x:c r="C50" s="21"/>
      <x:c r="D50" s="21"/>
      <x:c r="E50" s="21"/>
      <x:c r="F50" s="20">
        <x:f>F18+F19+F27</x:f>
      </x:c>
      <x:c r="G50" s="20">
        <x:f>G18+G19+G27</x:f>
      </x:c>
      <x:c r="H50" s="20">
        <x:f>H18+H19+H27</x:f>
      </x:c>
      <x:c r="I50" s="15"/>
    </x:row>
    <x:row r="51" spans="1:20">
      <x:c r="B51" s="21" t="s">
        <x:v>181</x:v>
      </x:c>
      <x:c r="C51" s="21"/>
      <x:c r="D51" s="21"/>
      <x:c r="E51" s="21"/>
      <x:c r="F51" s="20">
        <x:f>F20+F23</x:f>
      </x:c>
      <x:c r="G51" s="20">
        <x:f>G20+G23</x:f>
      </x:c>
      <x:c r="H51" s="20">
        <x:f>H20+H23</x:f>
      </x:c>
      <x:c r="I51" s="15"/>
    </x:row>
    <x:row r="52" spans="1:20">
      <x:c r="B52" s="21" t="s">
        <x:v>182</x:v>
      </x:c>
      <x:c r="C52" s="21"/>
      <x:c r="D52" s="21"/>
      <x:c r="E52" s="21"/>
      <x:c r="F52" s="20"/>
      <x:c r="G52" s="20"/>
      <x:c r="H52" s="20"/>
      <x:c r="I52" s="15"/>
    </x:row>
    <x:row r="53" spans="1:20">
      <x:c r="B53" s="19" t="s">
        <x:v>183</x:v>
      </x:c>
      <x:c r="C53" s="20"/>
      <x:c r="D53" s="20"/>
      <x:c r="E53" s="20"/>
      <x:c r="F53" s="20"/>
      <x:c r="G53" s="20"/>
      <x:c r="H53" s="21">
        <x:f>SUM(H54:H55)</x:f>
      </x:c>
      <x:c r="I53" s="22"/>
    </x:row>
    <x:row r="54" spans="1:20">
      <x:c r="B54" s="21" t="s">
        <x:v>184</x:v>
      </x:c>
      <x:c r="C54" s="21"/>
      <x:c r="D54" s="21"/>
      <x:c r="E54" s="21"/>
      <x:c r="F54" s="20"/>
      <x:c r="G54" s="20"/>
      <x:c r="H54" s="20"/>
      <x:c r="I54" s="15"/>
    </x:row>
    <x:row r="55" spans="1:20">
      <x:c r="B55" s="21" t="s">
        <x:v>185</x:v>
      </x:c>
      <x:c r="C55" s="21"/>
      <x:c r="D55" s="21"/>
      <x:c r="E55" s="21"/>
      <x:c r="F55" s="20"/>
      <x:c r="G55" s="20"/>
      <x:c r="H55" s="20"/>
      <x:c r="I55" s="15"/>
    </x:row>
    <x:row r="56" spans="1:20">
      <x:c r="B56" s="22"/>
      <x:c r="C56" s="22"/>
      <x:c r="D56" s="22"/>
      <x:c r="E56" s="22"/>
      <x:c r="F56" s="15"/>
      <x:c r="G56" s="15"/>
      <x:c r="H56" s="22">
        <x:f>H34+H38+H46+H53</x:f>
      </x:c>
      <x:c r="I56" s="15"/>
    </x:row>
    <x:row r="57" spans="1:20">
      <x:c r="H57" s="17">
        <x:f>H56 - H32</x:f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27139F1-1E7C-6748-BE58-9C663911F60A}" mc:Ignorable="x14ac xr xr2 xr3">
  <x:sheetPr>
    <x:outlinePr summaryBelow="1" summaryRight="1"/>
  </x:sheetPr>
  <x:dimension ref="A1:T35"/>
  <x:sheetViews>
    <x:sheetView topLeftCell="A24" workbookViewId="0"/>
  </x:sheetViews>
  <x:sheetFormatPr defaultColWidth="11.085625" defaultRowHeight="15.75"/>
  <x:sheetData>
    <x:row r="1" spans="1:2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</x:row>
    <x:row r="2" spans="1:20">
      <x:c r="A2" s="0">
        <x:v>1</x:v>
      </x:c>
      <x:c r="B2" s="0" t="s">
        <x:v>99</x:v>
      </x:c>
      <x:c r="C2" s="0" t="s">
        <x:v>21</x:v>
      </x:c>
      <x:c r="D2" s="0" t="s">
        <x:v>34</x:v>
      </x:c>
      <x:c r="E2" s="0">
        <x:v>1</x:v>
      </x:c>
      <x:c r="F2" s="0">
        <x:v>0.1</x:v>
      </x:c>
      <x:c r="G2" s="8">
        <x:v>5310</x:v>
      </x:c>
      <x:c r="H2" s="8">
        <x:v>531</x:v>
      </x:c>
      <x:c r="I2" s="0" t="s">
        <x:v>23</x:v>
      </x:c>
      <x:c r="K2" s="8">
        <x:v>531</x:v>
      </x:c>
      <x:c r="L2" s="0" t="s">
        <x:v>24</x:v>
      </x:c>
      <x:c r="M2" s="0" t="s">
        <x:v>25</x:v>
      </x:c>
      <x:c r="N2" s="0" t="s">
        <x:v>26</x:v>
      </x:c>
      <x:c r="P2" s="0" t="s">
        <x:v>27</x:v>
      </x:c>
    </x:row>
    <x:row r="3" spans="1:20">
      <x:c r="A3" s="0">
        <x:v>2</x:v>
      </x:c>
      <x:c r="B3" s="0" t="s">
        <x:v>91</x:v>
      </x:c>
      <x:c r="C3" s="0" t="s">
        <x:v>21</x:v>
      </x:c>
      <x:c r="D3" s="0" t="s">
        <x:v>22</x:v>
      </x:c>
      <x:c r="E3" s="0">
        <x:v>1</x:v>
      </x:c>
      <x:c r="F3" s="0">
        <x:v>1</x:v>
      </x:c>
      <x:c r="G3" s="8">
        <x:v>350</x:v>
      </x:c>
      <x:c r="H3" s="8">
        <x:v>350</x:v>
      </x:c>
      <x:c r="I3" s="0" t="s">
        <x:v>23</x:v>
      </x:c>
      <x:c r="K3" s="8">
        <x:v>350</x:v>
      </x:c>
      <x:c r="L3" s="0" t="s">
        <x:v>24</x:v>
      </x:c>
      <x:c r="M3" s="0" t="s">
        <x:v>25</x:v>
      </x:c>
      <x:c r="N3" s="0" t="s">
        <x:v>26</x:v>
      </x:c>
      <x:c r="P3" s="0" t="s">
        <x:v>27</x:v>
      </x:c>
    </x:row>
    <x:row r="4" spans="1:20">
      <x:c r="A4" s="0">
        <x:v>3</x:v>
      </x:c>
      <x:c r="B4" s="0" t="s">
        <x:v>61</x:v>
      </x:c>
      <x:c r="C4" s="0" t="s">
        <x:v>21</x:v>
      </x:c>
      <x:c r="D4" s="0" t="s">
        <x:v>22</x:v>
      </x:c>
      <x:c r="E4" s="0">
        <x:v>1</x:v>
      </x:c>
      <x:c r="F4" s="0">
        <x:v>1</x:v>
      </x:c>
      <x:c r="G4" s="8">
        <x:v>250</x:v>
      </x:c>
      <x:c r="H4" s="8">
        <x:v>250</x:v>
      </x:c>
      <x:c r="I4" s="0" t="s">
        <x:v>23</x:v>
      </x:c>
      <x:c r="K4" s="8">
        <x:v>250</x:v>
      </x:c>
      <x:c r="L4" s="0" t="s">
        <x:v>24</x:v>
      </x:c>
      <x:c r="M4" s="0" t="s">
        <x:v>25</x:v>
      </x:c>
      <x:c r="N4" s="0" t="s">
        <x:v>26</x:v>
      </x:c>
      <x:c r="P4" s="0" t="s">
        <x:v>27</x:v>
      </x:c>
    </x:row>
    <x:row r="5" spans="1:20">
      <x:c r="A5" s="0">
        <x:v>4</x:v>
      </x:c>
      <x:c r="B5" s="0" t="s">
        <x:v>20</x:v>
      </x:c>
      <x:c r="C5" s="0" t="s">
        <x:v>21</x:v>
      </x:c>
      <x:c r="D5" s="0" t="s">
        <x:v>22</x:v>
      </x:c>
      <x:c r="E5" s="0">
        <x:v>1</x:v>
      </x:c>
      <x:c r="F5" s="0">
        <x:v>1</x:v>
      </x:c>
      <x:c r="G5" s="8">
        <x:v>150</x:v>
      </x:c>
      <x:c r="H5" s="8">
        <x:v>150</x:v>
      </x:c>
      <x:c r="I5" s="0" t="s">
        <x:v>23</x:v>
      </x:c>
      <x:c r="K5" s="8">
        <x:v>150</x:v>
      </x:c>
      <x:c r="L5" s="0" t="s">
        <x:v>24</x:v>
      </x:c>
      <x:c r="M5" s="0" t="s">
        <x:v>25</x:v>
      </x:c>
      <x:c r="N5" s="0" t="s">
        <x:v>26</x:v>
      </x:c>
      <x:c r="P5" s="0" t="s">
        <x:v>27</x:v>
      </x:c>
    </x:row>
    <x:row r="6" spans="1:20">
      <x:c r="A6" s="0">
        <x:v>5</x:v>
      </x:c>
      <x:c r="B6" s="0" t="s">
        <x:v>29</x:v>
      </x:c>
      <x:c r="C6" s="0" t="s">
        <x:v>21</x:v>
      </x:c>
      <x:c r="D6" s="0" t="s">
        <x:v>22</x:v>
      </x:c>
      <x:c r="E6" s="0">
        <x:v>1</x:v>
      </x:c>
      <x:c r="F6" s="0">
        <x:v>6</x:v>
      </x:c>
      <x:c r="G6" s="8">
        <x:v>221.33</x:v>
      </x:c>
      <x:c r="H6" s="8">
        <x:v>1328</x:v>
      </x:c>
      <x:c r="I6" s="0" t="s">
        <x:v>23</x:v>
      </x:c>
      <x:c r="K6" s="8">
        <x:v>1328</x:v>
      </x:c>
      <x:c r="L6" s="0" t="s">
        <x:v>24</x:v>
      </x:c>
      <x:c r="M6" s="0" t="s">
        <x:v>25</x:v>
      </x:c>
      <x:c r="N6" s="0" t="s">
        <x:v>26</x:v>
      </x:c>
      <x:c r="P6" s="0" t="s">
        <x:v>27</x:v>
      </x:c>
    </x:row>
    <x:row r="7" spans="1:20">
      <x:c r="A7" s="0">
        <x:v>6</x:v>
      </x:c>
      <x:c r="B7" s="0" t="s">
        <x:v>30</x:v>
      </x:c>
      <x:c r="C7" s="0" t="s">
        <x:v>21</x:v>
      </x:c>
      <x:c r="D7" s="0" t="s">
        <x:v>22</x:v>
      </x:c>
      <x:c r="E7" s="0">
        <x:v>1</x:v>
      </x:c>
      <x:c r="F7" s="0">
        <x:v>12</x:v>
      </x:c>
      <x:c r="G7" s="8">
        <x:v>295.88</x:v>
      </x:c>
      <x:c r="H7" s="8">
        <x:v>3550.5</x:v>
      </x:c>
      <x:c r="I7" s="0" t="s">
        <x:v>23</x:v>
      </x:c>
      <x:c r="K7" s="8">
        <x:v>3550.5</x:v>
      </x:c>
      <x:c r="L7" s="0" t="s">
        <x:v>24</x:v>
      </x:c>
      <x:c r="M7" s="0" t="s">
        <x:v>25</x:v>
      </x:c>
      <x:c r="N7" s="0" t="s">
        <x:v>26</x:v>
      </x:c>
      <x:c r="P7" s="0" t="s">
        <x:v>27</x:v>
      </x:c>
    </x:row>
    <x:row r="8" spans="1:20">
      <x:c r="A8" s="0">
        <x:v>7</x:v>
      </x:c>
      <x:c r="B8" s="0" t="s">
        <x:v>31</x:v>
      </x:c>
      <x:c r="C8" s="0" t="s">
        <x:v>21</x:v>
      </x:c>
      <x:c r="D8" s="0" t="s">
        <x:v>22</x:v>
      </x:c>
      <x:c r="E8" s="0">
        <x:v>1</x:v>
      </x:c>
      <x:c r="F8" s="0">
        <x:v>1</x:v>
      </x:c>
      <x:c r="G8" s="8">
        <x:v>90</x:v>
      </x:c>
      <x:c r="H8" s="8">
        <x:v>90</x:v>
      </x:c>
      <x:c r="I8" s="0" t="s">
        <x:v>23</x:v>
      </x:c>
      <x:c r="K8" s="8">
        <x:v>90</x:v>
      </x:c>
      <x:c r="L8" s="0" t="s">
        <x:v>24</x:v>
      </x:c>
      <x:c r="M8" s="0" t="s">
        <x:v>25</x:v>
      </x:c>
      <x:c r="N8" s="0" t="s">
        <x:v>26</x:v>
      </x:c>
      <x:c r="P8" s="0" t="s">
        <x:v>27</x:v>
      </x:c>
    </x:row>
    <x:row r="9" spans="1:20">
      <x:c r="A9" s="0">
        <x:v>8</x:v>
      </x:c>
      <x:c r="B9" s="0" t="s">
        <x:v>80</x:v>
      </x:c>
      <x:c r="C9" s="0" t="s">
        <x:v>21</x:v>
      </x:c>
      <x:c r="D9" s="0" t="s">
        <x:v>34</x:v>
      </x:c>
      <x:c r="E9" s="0">
        <x:v>1</x:v>
      </x:c>
      <x:c r="F9" s="0">
        <x:v>0.15</x:v>
      </x:c>
      <x:c r="G9" s="8">
        <x:v>3380</x:v>
      </x:c>
      <x:c r="H9" s="8">
        <x:v>507</x:v>
      </x:c>
      <x:c r="I9" s="0" t="s">
        <x:v>23</x:v>
      </x:c>
      <x:c r="K9" s="8">
        <x:v>507</x:v>
      </x:c>
      <x:c r="L9" s="0" t="s">
        <x:v>24</x:v>
      </x:c>
      <x:c r="M9" s="0" t="s">
        <x:v>25</x:v>
      </x:c>
      <x:c r="N9" s="0" t="s">
        <x:v>26</x:v>
      </x:c>
      <x:c r="P9" s="0" t="s">
        <x:v>27</x:v>
      </x:c>
    </x:row>
    <x:row r="10" spans="1:20">
      <x:c r="A10" s="0">
        <x:v>9</x:v>
      </x:c>
      <x:c r="B10" s="0" t="s">
        <x:v>63</x:v>
      </x:c>
      <x:c r="C10" s="0" t="s">
        <x:v>21</x:v>
      </x:c>
      <x:c r="D10" s="0" t="s">
        <x:v>34</x:v>
      </x:c>
      <x:c r="E10" s="0">
        <x:v>1</x:v>
      </x:c>
      <x:c r="F10" s="0">
        <x:v>0.15</x:v>
      </x:c>
      <x:c r="G10" s="8">
        <x:v>6580</x:v>
      </x:c>
      <x:c r="H10" s="8">
        <x:v>987</x:v>
      </x:c>
      <x:c r="I10" s="0" t="s">
        <x:v>23</x:v>
      </x:c>
      <x:c r="K10" s="8">
        <x:v>987</x:v>
      </x:c>
      <x:c r="L10" s="0" t="s">
        <x:v>24</x:v>
      </x:c>
      <x:c r="M10" s="0" t="s">
        <x:v>25</x:v>
      </x:c>
      <x:c r="N10" s="0" t="s">
        <x:v>26</x:v>
      </x:c>
      <x:c r="P10" s="0" t="s">
        <x:v>27</x:v>
      </x:c>
    </x:row>
    <x:row r="11" spans="1:20">
      <x:c r="A11" s="0">
        <x:v>10</x:v>
      </x:c>
      <x:c r="B11" s="0" t="s">
        <x:v>114</x:v>
      </x:c>
      <x:c r="C11" s="0" t="s">
        <x:v>21</x:v>
      </x:c>
      <x:c r="D11" s="0" t="s">
        <x:v>34</x:v>
      </x:c>
      <x:c r="E11" s="0">
        <x:v>1</x:v>
      </x:c>
      <x:c r="F11" s="0">
        <x:v>1</x:v>
      </x:c>
      <x:c r="G11" s="8">
        <x:v>2380</x:v>
      </x:c>
      <x:c r="H11" s="8">
        <x:v>2380</x:v>
      </x:c>
      <x:c r="I11" s="0" t="s">
        <x:v>23</x:v>
      </x:c>
      <x:c r="K11" s="8">
        <x:v>2380</x:v>
      </x:c>
      <x:c r="L11" s="0" t="s">
        <x:v>24</x:v>
      </x:c>
      <x:c r="M11" s="0" t="s">
        <x:v>25</x:v>
      </x:c>
      <x:c r="N11" s="0" t="s">
        <x:v>26</x:v>
      </x:c>
      <x:c r="P11" s="0" t="s">
        <x:v>27</x:v>
      </x:c>
    </x:row>
    <x:row r="12" spans="1:20">
      <x:c r="A12" s="0">
        <x:v>11</x:v>
      </x:c>
      <x:c r="B12" s="0" t="s">
        <x:v>70</x:v>
      </x:c>
      <x:c r="C12" s="0" t="s">
        <x:v>21</x:v>
      </x:c>
      <x:c r="D12" s="0" t="s">
        <x:v>22</x:v>
      </x:c>
      <x:c r="E12" s="0">
        <x:v>1</x:v>
      </x:c>
      <x:c r="F12" s="0">
        <x:v>1</x:v>
      </x:c>
      <x:c r="G12" s="8">
        <x:v>250</x:v>
      </x:c>
      <x:c r="H12" s="8">
        <x:v>250</x:v>
      </x:c>
      <x:c r="I12" s="0" t="s">
        <x:v>23</x:v>
      </x:c>
      <x:c r="K12" s="8">
        <x:v>250</x:v>
      </x:c>
      <x:c r="L12" s="0" t="s">
        <x:v>24</x:v>
      </x:c>
      <x:c r="M12" s="0" t="s">
        <x:v>25</x:v>
      </x:c>
      <x:c r="N12" s="0" t="s">
        <x:v>26</x:v>
      </x:c>
      <x:c r="P12" s="0" t="s">
        <x:v>27</x:v>
      </x:c>
    </x:row>
    <x:row r="13" spans="1:20">
      <x:c r="A13" s="0">
        <x:v>12</x:v>
      </x:c>
      <x:c r="B13" s="0" t="s">
        <x:v>37</x:v>
      </x:c>
      <x:c r="C13" s="0" t="s">
        <x:v>21</x:v>
      </x:c>
      <x:c r="D13" s="0" t="s">
        <x:v>22</x:v>
      </x:c>
      <x:c r="E13" s="0">
        <x:v>1</x:v>
      </x:c>
      <x:c r="F13" s="0">
        <x:v>2</x:v>
      </x:c>
      <x:c r="G13" s="8">
        <x:v>323.75</x:v>
      </x:c>
      <x:c r="H13" s="8">
        <x:v>647.5</x:v>
      </x:c>
      <x:c r="I13" s="0" t="s">
        <x:v>23</x:v>
      </x:c>
      <x:c r="K13" s="8">
        <x:v>647.5</x:v>
      </x:c>
      <x:c r="L13" s="0" t="s">
        <x:v>24</x:v>
      </x:c>
      <x:c r="M13" s="0" t="s">
        <x:v>25</x:v>
      </x:c>
      <x:c r="N13" s="0" t="s">
        <x:v>26</x:v>
      </x:c>
      <x:c r="P13" s="0" t="s">
        <x:v>27</x:v>
      </x:c>
    </x:row>
    <x:row r="14" spans="1:20">
      <x:c r="A14" s="0">
        <x:v>13</x:v>
      </x:c>
      <x:c r="B14" s="0" t="s">
        <x:v>126</x:v>
      </x:c>
      <x:c r="C14" s="0" t="s">
        <x:v>21</x:v>
      </x:c>
      <x:c r="D14" s="0" t="s">
        <x:v>22</x:v>
      </x:c>
      <x:c r="E14" s="0">
        <x:v>1</x:v>
      </x:c>
      <x:c r="F14" s="0">
        <x:v>4</x:v>
      </x:c>
      <x:c r="G14" s="8">
        <x:v>180</x:v>
      </x:c>
      <x:c r="H14" s="8">
        <x:v>720</x:v>
      </x:c>
      <x:c r="I14" s="0" t="s">
        <x:v>23</x:v>
      </x:c>
      <x:c r="K14" s="8">
        <x:v>720</x:v>
      </x:c>
      <x:c r="L14" s="0" t="s">
        <x:v>24</x:v>
      </x:c>
      <x:c r="M14" s="0" t="s">
        <x:v>25</x:v>
      </x:c>
      <x:c r="N14" s="0" t="s">
        <x:v>26</x:v>
      </x:c>
      <x:c r="P14" s="0" t="s">
        <x:v>27</x:v>
      </x:c>
    </x:row>
    <x:row r="15" spans="1:20">
      <x:c r="A15" s="0">
        <x:v>14</x:v>
      </x:c>
      <x:c r="B15" s="0" t="s">
        <x:v>38</x:v>
      </x:c>
      <x:c r="C15" s="0" t="s">
        <x:v>21</x:v>
      </x:c>
      <x:c r="D15" s="0" t="s">
        <x:v>22</x:v>
      </x:c>
      <x:c r="E15" s="0">
        <x:v>1</x:v>
      </x:c>
      <x:c r="F15" s="0">
        <x:v>1</x:v>
      </x:c>
      <x:c r="G15" s="8">
        <x:v>420</x:v>
      </x:c>
      <x:c r="H15" s="8">
        <x:v>420</x:v>
      </x:c>
      <x:c r="I15" s="0" t="s">
        <x:v>23</x:v>
      </x:c>
      <x:c r="K15" s="8">
        <x:v>420</x:v>
      </x:c>
      <x:c r="L15" s="0" t="s">
        <x:v>24</x:v>
      </x:c>
      <x:c r="M15" s="0" t="s">
        <x:v>25</x:v>
      </x:c>
      <x:c r="N15" s="0" t="s">
        <x:v>26</x:v>
      </x:c>
      <x:c r="P15" s="0" t="s">
        <x:v>27</x:v>
      </x:c>
    </x:row>
    <x:row r="16" spans="1:20">
      <x:c r="A16" s="0">
        <x:v>15</x:v>
      </x:c>
      <x:c r="B16" s="0" t="s">
        <x:v>103</x:v>
      </x:c>
      <x:c r="C16" s="0" t="s">
        <x:v>21</x:v>
      </x:c>
      <x:c r="D16" s="0" t="s">
        <x:v>22</x:v>
      </x:c>
      <x:c r="E16" s="0">
        <x:v>1</x:v>
      </x:c>
      <x:c r="F16" s="0">
        <x:v>1</x:v>
      </x:c>
      <x:c r="G16" s="8">
        <x:v>420</x:v>
      </x:c>
      <x:c r="H16" s="8">
        <x:v>420</x:v>
      </x:c>
      <x:c r="I16" s="0" t="s">
        <x:v>23</x:v>
      </x:c>
      <x:c r="K16" s="8">
        <x:v>420</x:v>
      </x:c>
      <x:c r="L16" s="0" t="s">
        <x:v>24</x:v>
      </x:c>
      <x:c r="M16" s="0" t="s">
        <x:v>25</x:v>
      </x:c>
      <x:c r="N16" s="0" t="s">
        <x:v>26</x:v>
      </x:c>
      <x:c r="P16" s="0" t="s">
        <x:v>27</x:v>
      </x:c>
    </x:row>
    <x:row r="17" spans="1:20">
      <x:c r="A17" s="0">
        <x:v>16</x:v>
      </x:c>
      <x:c r="B17" s="0" t="s">
        <x:v>39</x:v>
      </x:c>
      <x:c r="C17" s="0" t="s">
        <x:v>21</x:v>
      </x:c>
      <x:c r="D17" s="0" t="s">
        <x:v>22</x:v>
      </x:c>
      <x:c r="E17" s="0">
        <x:v>1</x:v>
      </x:c>
      <x:c r="F17" s="0">
        <x:v>4</x:v>
      </x:c>
      <x:c r="G17" s="8">
        <x:v>229.88</x:v>
      </x:c>
      <x:c r="H17" s="8">
        <x:v>919.5</x:v>
      </x:c>
      <x:c r="I17" s="0" t="s">
        <x:v>23</x:v>
      </x:c>
      <x:c r="K17" s="8">
        <x:v>919.5</x:v>
      </x:c>
      <x:c r="L17" s="0" t="s">
        <x:v>24</x:v>
      </x:c>
      <x:c r="M17" s="0" t="s">
        <x:v>25</x:v>
      </x:c>
      <x:c r="N17" s="0" t="s">
        <x:v>26</x:v>
      </x:c>
      <x:c r="P17" s="0" t="s">
        <x:v>27</x:v>
      </x:c>
    </x:row>
    <x:row r="18" spans="1:20">
      <x:c r="A18" s="0">
        <x:v>17</x:v>
      </x:c>
      <x:c r="B18" s="0" t="s">
        <x:v>40</x:v>
      </x:c>
      <x:c r="C18" s="0" t="s">
        <x:v>21</x:v>
      </x:c>
      <x:c r="D18" s="0" t="s">
        <x:v>22</x:v>
      </x:c>
      <x:c r="E18" s="0">
        <x:v>1</x:v>
      </x:c>
      <x:c r="F18" s="0">
        <x:v>2</x:v>
      </x:c>
      <x:c r="G18" s="8">
        <x:v>400</x:v>
      </x:c>
      <x:c r="H18" s="8">
        <x:v>800</x:v>
      </x:c>
      <x:c r="I18" s="0" t="s">
        <x:v>23</x:v>
      </x:c>
      <x:c r="K18" s="8">
        <x:v>800</x:v>
      </x:c>
      <x:c r="L18" s="0" t="s">
        <x:v>24</x:v>
      </x:c>
      <x:c r="M18" s="0" t="s">
        <x:v>25</x:v>
      </x:c>
      <x:c r="N18" s="0" t="s">
        <x:v>26</x:v>
      </x:c>
      <x:c r="P18" s="0" t="s">
        <x:v>27</x:v>
      </x:c>
    </x:row>
    <x:row r="19" spans="1:20">
      <x:c r="A19" s="0">
        <x:v>18</x:v>
      </x:c>
      <x:c r="B19" s="0" t="s">
        <x:v>41</x:v>
      </x:c>
      <x:c r="C19" s="0" t="s">
        <x:v>21</x:v>
      </x:c>
      <x:c r="D19" s="0" t="s">
        <x:v>22</x:v>
      </x:c>
      <x:c r="E19" s="0">
        <x:v>1</x:v>
      </x:c>
      <x:c r="F19" s="0">
        <x:v>3</x:v>
      </x:c>
      <x:c r="G19" s="8">
        <x:v>296.67</x:v>
      </x:c>
      <x:c r="H19" s="8">
        <x:v>890</x:v>
      </x:c>
      <x:c r="I19" s="0" t="s">
        <x:v>23</x:v>
      </x:c>
      <x:c r="K19" s="8">
        <x:v>890</x:v>
      </x:c>
      <x:c r="L19" s="0" t="s">
        <x:v>24</x:v>
      </x:c>
      <x:c r="M19" s="0" t="s">
        <x:v>25</x:v>
      </x:c>
      <x:c r="N19" s="0" t="s">
        <x:v>26</x:v>
      </x:c>
      <x:c r="P19" s="0" t="s">
        <x:v>27</x:v>
      </x:c>
    </x:row>
    <x:row r="20" spans="1:20">
      <x:c r="A20" s="0">
        <x:v>19</x:v>
      </x:c>
      <x:c r="B20" s="0" t="s">
        <x:v>127</x:v>
      </x:c>
      <x:c r="C20" s="0" t="s">
        <x:v>21</x:v>
      </x:c>
      <x:c r="D20" s="0" t="s">
        <x:v>22</x:v>
      </x:c>
      <x:c r="E20" s="0">
        <x:v>1</x:v>
      </x:c>
      <x:c r="F20" s="0">
        <x:v>2</x:v>
      </x:c>
      <x:c r="G20" s="8">
        <x:v>220</x:v>
      </x:c>
      <x:c r="H20" s="8">
        <x:v>440</x:v>
      </x:c>
      <x:c r="I20" s="0" t="s">
        <x:v>23</x:v>
      </x:c>
      <x:c r="K20" s="8">
        <x:v>440</x:v>
      </x:c>
      <x:c r="L20" s="0" t="s">
        <x:v>24</x:v>
      </x:c>
      <x:c r="M20" s="0" t="s">
        <x:v>25</x:v>
      </x:c>
      <x:c r="N20" s="0" t="s">
        <x:v>26</x:v>
      </x:c>
      <x:c r="P20" s="0" t="s">
        <x:v>27</x:v>
      </x:c>
    </x:row>
    <x:row r="21" spans="1:20">
      <x:c r="A21" s="0">
        <x:v>20</x:v>
      </x:c>
      <x:c r="B21" s="0" t="s">
        <x:v>152</x:v>
      </x:c>
      <x:c r="C21" s="0" t="s">
        <x:v>21</x:v>
      </x:c>
      <x:c r="D21" s="0" t="s">
        <x:v>34</x:v>
      </x:c>
      <x:c r="E21" s="0">
        <x:v>1</x:v>
      </x:c>
      <x:c r="F21" s="0">
        <x:v>0.1</x:v>
      </x:c>
      <x:c r="G21" s="8">
        <x:v>3400</x:v>
      </x:c>
      <x:c r="H21" s="8">
        <x:v>340</x:v>
      </x:c>
      <x:c r="I21" s="0" t="s">
        <x:v>23</x:v>
      </x:c>
      <x:c r="K21" s="8">
        <x:v>340</x:v>
      </x:c>
      <x:c r="L21" s="0" t="s">
        <x:v>24</x:v>
      </x:c>
      <x:c r="M21" s="0" t="s">
        <x:v>25</x:v>
      </x:c>
      <x:c r="N21" s="0" t="s">
        <x:v>26</x:v>
      </x:c>
      <x:c r="P21" s="0" t="s">
        <x:v>27</x:v>
      </x:c>
    </x:row>
    <x:row r="22" spans="1:20">
      <x:c r="A22" s="0">
        <x:v>21</x:v>
      </x:c>
      <x:c r="B22" s="0" t="s">
        <x:v>44</x:v>
      </x:c>
      <x:c r="C22" s="0" t="s">
        <x:v>21</x:v>
      </x:c>
      <x:c r="D22" s="0" t="s">
        <x:v>22</x:v>
      </x:c>
      <x:c r="E22" s="0">
        <x:v>1</x:v>
      </x:c>
      <x:c r="F22" s="0">
        <x:v>7</x:v>
      </x:c>
      <x:c r="G22" s="8">
        <x:v>85</x:v>
      </x:c>
      <x:c r="H22" s="8">
        <x:v>595</x:v>
      </x:c>
      <x:c r="I22" s="0" t="s">
        <x:v>23</x:v>
      </x:c>
      <x:c r="K22" s="8">
        <x:v>595</x:v>
      </x:c>
      <x:c r="L22" s="0" t="s">
        <x:v>24</x:v>
      </x:c>
      <x:c r="M22" s="0" t="s">
        <x:v>25</x:v>
      </x:c>
      <x:c r="N22" s="0" t="s">
        <x:v>26</x:v>
      </x:c>
      <x:c r="P22" s="0" t="s">
        <x:v>27</x:v>
      </x:c>
    </x:row>
    <x:row r="23" spans="1:20">
      <x:c r="A23" s="0">
        <x:v>22</x:v>
      </x:c>
      <x:c r="B23" s="0" t="s">
        <x:v>47</x:v>
      </x:c>
      <x:c r="C23" s="0" t="s">
        <x:v>21</x:v>
      </x:c>
      <x:c r="D23" s="0" t="s">
        <x:v>22</x:v>
      </x:c>
      <x:c r="E23" s="0">
        <x:v>1</x:v>
      </x:c>
      <x:c r="F23" s="0">
        <x:v>8</x:v>
      </x:c>
      <x:c r="G23" s="8">
        <x:v>264.94</x:v>
      </x:c>
      <x:c r="H23" s="8">
        <x:v>2119.5</x:v>
      </x:c>
      <x:c r="I23" s="0" t="s">
        <x:v>23</x:v>
      </x:c>
      <x:c r="K23" s="8">
        <x:v>2119.5</x:v>
      </x:c>
      <x:c r="L23" s="0" t="s">
        <x:v>24</x:v>
      </x:c>
      <x:c r="M23" s="0" t="s">
        <x:v>25</x:v>
      </x:c>
      <x:c r="N23" s="0" t="s">
        <x:v>26</x:v>
      </x:c>
      <x:c r="P23" s="0" t="s">
        <x:v>27</x:v>
      </x:c>
    </x:row>
    <x:row r="24" spans="1:20">
      <x:c r="A24" s="0">
        <x:v>23</x:v>
      </x:c>
      <x:c r="B24" s="0" t="s">
        <x:v>49</x:v>
      </x:c>
      <x:c r="C24" s="0" t="s">
        <x:v>21</x:v>
      </x:c>
      <x:c r="D24" s="0" t="s">
        <x:v>22</x:v>
      </x:c>
      <x:c r="E24" s="0">
        <x:v>1</x:v>
      </x:c>
      <x:c r="F24" s="0">
        <x:v>1</x:v>
      </x:c>
      <x:c r="G24" s="8">
        <x:v>250</x:v>
      </x:c>
      <x:c r="H24" s="8">
        <x:v>250</x:v>
      </x:c>
      <x:c r="I24" s="0" t="s">
        <x:v>23</x:v>
      </x:c>
      <x:c r="K24" s="8">
        <x:v>250</x:v>
      </x:c>
      <x:c r="L24" s="0" t="s">
        <x:v>24</x:v>
      </x:c>
      <x:c r="M24" s="0" t="s">
        <x:v>25</x:v>
      </x:c>
      <x:c r="N24" s="0" t="s">
        <x:v>26</x:v>
      </x:c>
      <x:c r="P24" s="0" t="s">
        <x:v>27</x:v>
      </x:c>
    </x:row>
    <x:row r="25" spans="1:20">
      <x:c r="A25" s="0">
        <x:v>24</x:v>
      </x:c>
      <x:c r="B25" s="0" t="s">
        <x:v>95</x:v>
      </x:c>
      <x:c r="C25" s="0" t="s">
        <x:v>21</x:v>
      </x:c>
      <x:c r="D25" s="0" t="s">
        <x:v>22</x:v>
      </x:c>
      <x:c r="E25" s="0">
        <x:v>1</x:v>
      </x:c>
      <x:c r="F25" s="0">
        <x:v>3</x:v>
      </x:c>
      <x:c r="G25" s="8">
        <x:v>285</x:v>
      </x:c>
      <x:c r="H25" s="8">
        <x:v>855</x:v>
      </x:c>
      <x:c r="I25" s="0" t="s">
        <x:v>23</x:v>
      </x:c>
      <x:c r="K25" s="8">
        <x:v>855</x:v>
      </x:c>
      <x:c r="L25" s="0" t="s">
        <x:v>24</x:v>
      </x:c>
      <x:c r="M25" s="0" t="s">
        <x:v>25</x:v>
      </x:c>
      <x:c r="N25" s="0" t="s">
        <x:v>26</x:v>
      </x:c>
      <x:c r="P25" s="0" t="s">
        <x:v>27</x:v>
      </x:c>
    </x:row>
    <x:row r="26" spans="1:20">
      <x:c r="A26" s="0">
        <x:v>25</x:v>
      </x:c>
      <x:c r="B26" s="0" t="s">
        <x:v>50</x:v>
      </x:c>
      <x:c r="C26" s="0" t="s">
        <x:v>21</x:v>
      </x:c>
      <x:c r="D26" s="0" t="s">
        <x:v>22</x:v>
      </x:c>
      <x:c r="E26" s="0">
        <x:v>1</x:v>
      </x:c>
      <x:c r="F26" s="0">
        <x:v>2</x:v>
      </x:c>
      <x:c r="G26" s="8">
        <x:v>180</x:v>
      </x:c>
      <x:c r="H26" s="8">
        <x:v>360</x:v>
      </x:c>
      <x:c r="I26" s="0" t="s">
        <x:v>23</x:v>
      </x:c>
      <x:c r="K26" s="8">
        <x:v>360</x:v>
      </x:c>
      <x:c r="L26" s="0" t="s">
        <x:v>24</x:v>
      </x:c>
      <x:c r="M26" s="0" t="s">
        <x:v>25</x:v>
      </x:c>
      <x:c r="N26" s="0" t="s">
        <x:v>26</x:v>
      </x:c>
      <x:c r="P26" s="0" t="s">
        <x:v>27</x:v>
      </x:c>
    </x:row>
    <x:row r="27" spans="1:20">
      <x:c r="A27" s="0">
        <x:v>26</x:v>
      </x:c>
      <x:c r="B27" s="0" t="s">
        <x:v>51</x:v>
      </x:c>
      <x:c r="C27" s="0" t="s">
        <x:v>21</x:v>
      </x:c>
      <x:c r="D27" s="0" t="s">
        <x:v>22</x:v>
      </x:c>
      <x:c r="E27" s="0">
        <x:v>1</x:v>
      </x:c>
      <x:c r="F27" s="0">
        <x:v>5</x:v>
      </x:c>
      <x:c r="G27" s="8">
        <x:v>58.2</x:v>
      </x:c>
      <x:c r="H27" s="8">
        <x:v>291</x:v>
      </x:c>
      <x:c r="I27" s="0" t="s">
        <x:v>23</x:v>
      </x:c>
      <x:c r="K27" s="8">
        <x:v>291</x:v>
      </x:c>
      <x:c r="L27" s="0" t="s">
        <x:v>24</x:v>
      </x:c>
      <x:c r="M27" s="0" t="s">
        <x:v>25</x:v>
      </x:c>
      <x:c r="N27" s="0" t="s">
        <x:v>26</x:v>
      </x:c>
      <x:c r="P27" s="0" t="s">
        <x:v>27</x:v>
      </x:c>
    </x:row>
    <x:row r="28" spans="1:20">
      <x:c r="A28" s="0">
        <x:v>27</x:v>
      </x:c>
      <x:c r="B28" s="0" t="s">
        <x:v>52</x:v>
      </x:c>
      <x:c r="C28" s="0" t="s">
        <x:v>21</x:v>
      </x:c>
      <x:c r="D28" s="0" t="s">
        <x:v>22</x:v>
      </x:c>
      <x:c r="E28" s="0">
        <x:v>1</x:v>
      </x:c>
      <x:c r="F28" s="0">
        <x:v>4</x:v>
      </x:c>
      <x:c r="G28" s="8">
        <x:v>249.75</x:v>
      </x:c>
      <x:c r="H28" s="8">
        <x:v>999</x:v>
      </x:c>
      <x:c r="I28" s="0" t="s">
        <x:v>23</x:v>
      </x:c>
      <x:c r="K28" s="8">
        <x:v>999</x:v>
      </x:c>
      <x:c r="L28" s="0" t="s">
        <x:v>24</x:v>
      </x:c>
      <x:c r="M28" s="0" t="s">
        <x:v>25</x:v>
      </x:c>
      <x:c r="N28" s="0" t="s">
        <x:v>26</x:v>
      </x:c>
      <x:c r="P28" s="0" t="s">
        <x:v>27</x:v>
      </x:c>
    </x:row>
    <x:row r="29" spans="1:20">
      <x:c r="A29" s="0">
        <x:v>28</x:v>
      </x:c>
      <x:c r="B29" s="0" t="s">
        <x:v>137</x:v>
      </x:c>
      <x:c r="C29" s="0" t="s">
        <x:v>21</x:v>
      </x:c>
      <x:c r="D29" s="0" t="s">
        <x:v>22</x:v>
      </x:c>
      <x:c r="E29" s="0">
        <x:v>1</x:v>
      </x:c>
      <x:c r="F29" s="0">
        <x:v>1</x:v>
      </x:c>
      <x:c r="G29" s="8">
        <x:v>212.27</x:v>
      </x:c>
      <x:c r="H29" s="8">
        <x:v>212.27</x:v>
      </x:c>
      <x:c r="I29" s="0" t="s">
        <x:v>23</x:v>
      </x:c>
      <x:c r="K29" s="8">
        <x:v>212.27</x:v>
      </x:c>
      <x:c r="L29" s="0" t="s">
        <x:v>24</x:v>
      </x:c>
      <x:c r="M29" s="0" t="s">
        <x:v>25</x:v>
      </x:c>
      <x:c r="N29" s="0" t="s">
        <x:v>26</x:v>
      </x:c>
      <x:c r="P29" s="0" t="s">
        <x:v>27</x:v>
      </x:c>
    </x:row>
    <x:row r="30" spans="1:20">
      <x:c r="A30" s="0">
        <x:v>29</x:v>
      </x:c>
      <x:c r="B30" s="0" t="s">
        <x:v>53</x:v>
      </x:c>
      <x:c r="C30" s="0" t="s">
        <x:v>21</x:v>
      </x:c>
      <x:c r="D30" s="0" t="s">
        <x:v>22</x:v>
      </x:c>
      <x:c r="E30" s="0">
        <x:v>1</x:v>
      </x:c>
      <x:c r="F30" s="0">
        <x:v>3</x:v>
      </x:c>
      <x:c r="G30" s="8">
        <x:v>40</x:v>
      </x:c>
      <x:c r="H30" s="8">
        <x:v>120</x:v>
      </x:c>
      <x:c r="I30" s="0" t="s">
        <x:v>23</x:v>
      </x:c>
      <x:c r="K30" s="8">
        <x:v>120</x:v>
      </x:c>
      <x:c r="L30" s="0" t="s">
        <x:v>24</x:v>
      </x:c>
      <x:c r="M30" s="0" t="s">
        <x:v>25</x:v>
      </x:c>
      <x:c r="N30" s="0" t="s">
        <x:v>26</x:v>
      </x:c>
      <x:c r="P30" s="0" t="s">
        <x:v>27</x:v>
      </x:c>
    </x:row>
    <x:row r="31" spans="1:20">
      <x:c r="A31" s="0">
        <x:v>30</x:v>
      </x:c>
      <x:c r="B31" s="0" t="s">
        <x:v>54</x:v>
      </x:c>
      <x:c r="C31" s="0" t="s">
        <x:v>21</x:v>
      </x:c>
      <x:c r="D31" s="0" t="s">
        <x:v>22</x:v>
      </x:c>
      <x:c r="E31" s="0">
        <x:v>1</x:v>
      </x:c>
      <x:c r="F31" s="0">
        <x:v>2</x:v>
      </x:c>
      <x:c r="G31" s="8">
        <x:v>230</x:v>
      </x:c>
      <x:c r="H31" s="8">
        <x:v>460</x:v>
      </x:c>
      <x:c r="I31" s="0" t="s">
        <x:v>23</x:v>
      </x:c>
      <x:c r="K31" s="8">
        <x:v>460</x:v>
      </x:c>
      <x:c r="L31" s="0" t="s">
        <x:v>24</x:v>
      </x:c>
      <x:c r="M31" s="0" t="s">
        <x:v>25</x:v>
      </x:c>
      <x:c r="N31" s="0" t="s">
        <x:v>26</x:v>
      </x:c>
      <x:c r="P31" s="0" t="s">
        <x:v>27</x:v>
      </x:c>
    </x:row>
    <x:row r="32" spans="1:20">
      <x:c r="A32" s="0">
        <x:v>31</x:v>
      </x:c>
      <x:c r="B32" s="0" t="s">
        <x:v>55</x:v>
      </x:c>
      <x:c r="C32" s="0" t="s">
        <x:v>21</x:v>
      </x:c>
      <x:c r="D32" s="0" t="s">
        <x:v>22</x:v>
      </x:c>
      <x:c r="E32" s="0">
        <x:v>1</x:v>
      </x:c>
      <x:c r="F32" s="0">
        <x:v>4</x:v>
      </x:c>
      <x:c r="G32" s="8">
        <x:v>341.25</x:v>
      </x:c>
      <x:c r="H32" s="8">
        <x:v>1365</x:v>
      </x:c>
      <x:c r="I32" s="0" t="s">
        <x:v>23</x:v>
      </x:c>
      <x:c r="K32" s="8">
        <x:v>1365</x:v>
      </x:c>
      <x:c r="L32" s="0" t="s">
        <x:v>24</x:v>
      </x:c>
      <x:c r="M32" s="0" t="s">
        <x:v>25</x:v>
      </x:c>
      <x:c r="N32" s="0" t="s">
        <x:v>26</x:v>
      </x:c>
      <x:c r="P32" s="0" t="s">
        <x:v>27</x:v>
      </x:c>
    </x:row>
    <x:row r="33" spans="1:20">
      <x:c r="A33" s="0">
        <x:v>32</x:v>
      </x:c>
      <x:c r="B33" s="0" t="s">
        <x:v>57</x:v>
      </x:c>
      <x:c r="C33" s="0" t="s">
        <x:v>21</x:v>
      </x:c>
      <x:c r="D33" s="0" t="s">
        <x:v>22</x:v>
      </x:c>
      <x:c r="E33" s="0">
        <x:v>1</x:v>
      </x:c>
      <x:c r="F33" s="0">
        <x:v>4</x:v>
      </x:c>
      <x:c r="G33" s="8">
        <x:v>130.88</x:v>
      </x:c>
      <x:c r="H33" s="8">
        <x:v>523.5</x:v>
      </x:c>
      <x:c r="I33" s="0" t="s">
        <x:v>23</x:v>
      </x:c>
      <x:c r="K33" s="8">
        <x:v>523.5</x:v>
      </x:c>
      <x:c r="L33" s="0" t="s">
        <x:v>24</x:v>
      </x:c>
      <x:c r="M33" s="0" t="s">
        <x:v>25</x:v>
      </x:c>
      <x:c r="N33" s="0" t="s">
        <x:v>26</x:v>
      </x:c>
      <x:c r="P33" s="0" t="s">
        <x:v>27</x:v>
      </x:c>
    </x:row>
    <x:row r="34" spans="1:20">
      <x:c r="A34" s="0">
        <x:v>33</x:v>
      </x:c>
      <x:c r="B34" s="0" t="s">
        <x:v>58</x:v>
      </x:c>
      <x:c r="C34" s="0" t="s">
        <x:v>21</x:v>
      </x:c>
      <x:c r="D34" s="0" t="s">
        <x:v>22</x:v>
      </x:c>
      <x:c r="E34" s="0">
        <x:v>1</x:v>
      </x:c>
      <x:c r="F34" s="0">
        <x:v>3</x:v>
      </x:c>
      <x:c r="G34" s="8">
        <x:v>265.91</x:v>
      </x:c>
      <x:c r="H34" s="8">
        <x:v>797.73</x:v>
      </x:c>
      <x:c r="I34" s="0" t="s">
        <x:v>23</x:v>
      </x:c>
      <x:c r="K34" s="8">
        <x:v>797.73</x:v>
      </x:c>
      <x:c r="L34" s="0" t="s">
        <x:v>24</x:v>
      </x:c>
      <x:c r="M34" s="0" t="s">
        <x:v>25</x:v>
      </x:c>
      <x:c r="N34" s="0" t="s">
        <x:v>26</x:v>
      </x:c>
      <x:c r="P34" s="0" t="s">
        <x:v>27</x:v>
      </x:c>
    </x:row>
    <x:row r="35" spans="1:20">
      <x:c r="A35" s="0">
        <x:v>34</x:v>
      </x:c>
      <x:c r="B35" s="0" t="s">
        <x:v>60</x:v>
      </x:c>
      <x:c r="C35" s="0" t="s">
        <x:v>21</x:v>
      </x:c>
      <x:c r="D35" s="0" t="s">
        <x:v>22</x:v>
      </x:c>
      <x:c r="E35" s="0">
        <x:v>1</x:v>
      </x:c>
      <x:c r="F35" s="0">
        <x:v>2</x:v>
      </x:c>
      <x:c r="G35" s="8">
        <x:v>150</x:v>
      </x:c>
      <x:c r="H35" s="8">
        <x:v>300</x:v>
      </x:c>
      <x:c r="I35" s="0" t="s">
        <x:v>23</x:v>
      </x:c>
      <x:c r="K35" s="8">
        <x:v>300</x:v>
      </x:c>
      <x:c r="L35" s="0" t="s">
        <x:v>24</x:v>
      </x:c>
      <x:c r="M35" s="0" t="s">
        <x:v>25</x:v>
      </x:c>
      <x:c r="N35" s="0" t="s">
        <x:v>26</x:v>
      </x:c>
      <x:c r="P35" s="0" t="s">
        <x:v>27</x:v>
      </x:c>
    </x:row>
    <x:row r="36" spans="1:20">
      <x:c r="H36" s="18">
        <x:f>SUM(H2:H35)</x:f>
      </x:c>
    </x:row>
    <x:row r="38" spans="1:20">
      <x:c r="B38" s="19" t="s">
        <x:v>163</x:v>
      </x:c>
      <x:c r="C38" s="20"/>
      <x:c r="D38" s="20"/>
      <x:c r="E38" s="20"/>
      <x:c r="F38" s="20"/>
      <x:c r="G38" s="20"/>
      <x:c r="H38" s="21">
        <x:f>SUM(H39:H41)</x:f>
      </x:c>
      <x:c r="I38" s="22" t="s">
        <x:v>164</x:v>
      </x:c>
    </x:row>
    <x:row r="39" spans="1:20">
      <x:c r="B39" s="21" t="s">
        <x:v>165</x:v>
      </x:c>
      <x:c r="C39" s="21"/>
      <x:c r="D39" s="21"/>
      <x:c r="E39" s="21"/>
      <x:c r="F39" s="20">
        <x:f>F3+F4+F5+F6+F7+F12+F13+F17+F18+F19+F23+F24+F25+F28+F29+F33+F34+F35</x:f>
      </x:c>
      <x:c r="G39" s="20">
        <x:f>G3+G4+G5+G6+G7+G12+G13+G17+G18+G19+G23+G24+G25+G28+G29+G33+G34+G35</x:f>
      </x:c>
      <x:c r="H39" s="20">
        <x:f>H3+H4+H5+H6+H7+H12+H13+H17+H18+H19+H23+H24+H25+H28+H29+H33+H34+H35</x:f>
      </x:c>
      <x:c r="I39" s="15"/>
    </x:row>
    <x:row r="40" spans="1:20">
      <x:c r="B40" s="21" t="s">
        <x:v>166</x:v>
      </x:c>
      <x:c r="C40" s="21"/>
      <x:c r="D40" s="21"/>
      <x:c r="E40" s="21"/>
      <x:c r="F40" s="20"/>
      <x:c r="G40" s="20"/>
      <x:c r="H40" s="20"/>
      <x:c r="I40" s="15"/>
    </x:row>
    <x:row r="41" spans="1:20">
      <x:c r="B41" s="21" t="s">
        <x:v>167</x:v>
      </x:c>
      <x:c r="C41" s="21"/>
      <x:c r="D41" s="21"/>
      <x:c r="E41" s="21"/>
      <x:c r="F41" s="20">
        <x:f>F8+F27+F30</x:f>
      </x:c>
      <x:c r="G41" s="20">
        <x:f>G8+G27+G30</x:f>
      </x:c>
      <x:c r="H41" s="20">
        <x:f>H8+H27+H30</x:f>
      </x:c>
      <x:c r="I41" s="15"/>
    </x:row>
    <x:row r="42" spans="1:20">
      <x:c r="B42" s="19" t="s">
        <x:v>168</x:v>
      </x:c>
      <x:c r="C42" s="20"/>
      <x:c r="D42" s="20"/>
      <x:c r="E42" s="20"/>
      <x:c r="F42" s="20"/>
      <x:c r="G42" s="20"/>
      <x:c r="H42" s="21">
        <x:f>SUM(H43:H49)</x:f>
      </x:c>
      <x:c r="I42" s="22" t="s">
        <x:v>169</x:v>
      </x:c>
    </x:row>
    <x:row r="43" spans="1:20">
      <x:c r="B43" s="21" t="s">
        <x:v>170</x:v>
      </x:c>
      <x:c r="C43" s="21"/>
      <x:c r="D43" s="21"/>
      <x:c r="E43" s="21"/>
      <x:c r="F43" s="20">
        <x:f>F9+F10+F11</x:f>
      </x:c>
      <x:c r="G43" s="20">
        <x:f>G9+G10+G11</x:f>
      </x:c>
      <x:c r="H43" s="20">
        <x:f>H9+H10+H11</x:f>
      </x:c>
      <x:c r="I43" s="15"/>
    </x:row>
    <x:row r="44" spans="1:20">
      <x:c r="B44" s="21" t="s">
        <x:v>171</x:v>
      </x:c>
      <x:c r="C44" s="21"/>
      <x:c r="D44" s="21"/>
      <x:c r="E44" s="21"/>
      <x:c r="F44" s="20">
        <x:f>F15+F16</x:f>
      </x:c>
      <x:c r="G44" s="20">
        <x:f>G15+G16</x:f>
      </x:c>
      <x:c r="H44" s="20">
        <x:f>H15+H16</x:f>
      </x:c>
      <x:c r="I44" s="15"/>
    </x:row>
    <x:row r="45" spans="1:20">
      <x:c r="B45" s="21" t="s">
        <x:v>172</x:v>
      </x:c>
      <x:c r="C45" s="21"/>
      <x:c r="D45" s="21"/>
      <x:c r="E45" s="21"/>
      <x:c r="F45" s="20"/>
      <x:c r="G45" s="20"/>
      <x:c r="H45" s="20"/>
      <x:c r="I45" s="15"/>
    </x:row>
    <x:row r="46" spans="1:20">
      <x:c r="B46" s="21" t="s">
        <x:v>173</x:v>
      </x:c>
      <x:c r="C46" s="21"/>
      <x:c r="D46" s="21"/>
      <x:c r="E46" s="21"/>
      <x:c r="F46" s="20">
        <x:f>F2+F21</x:f>
      </x:c>
      <x:c r="G46" s="20">
        <x:f>G2+G21</x:f>
      </x:c>
      <x:c r="H46" s="20">
        <x:f>H2+H21</x:f>
      </x:c>
      <x:c r="I46" s="15"/>
    </x:row>
    <x:row r="47" spans="1:20">
      <x:c r="B47" s="21" t="s">
        <x:v>174</x:v>
      </x:c>
      <x:c r="C47" s="21"/>
      <x:c r="D47" s="21"/>
      <x:c r="E47" s="21"/>
      <x:c r="F47" s="20"/>
      <x:c r="G47" s="20"/>
      <x:c r="H47" s="20"/>
      <x:c r="I47" s="15"/>
    </x:row>
    <x:row r="48" spans="1:20">
      <x:c r="B48" s="21" t="s">
        <x:v>70</x:v>
      </x:c>
      <x:c r="C48" s="21"/>
      <x:c r="D48" s="21"/>
      <x:c r="E48" s="21"/>
      <x:c r="F48" s="20"/>
      <x:c r="G48" s="20"/>
      <x:c r="H48" s="20"/>
      <x:c r="I48" s="15"/>
    </x:row>
    <x:row r="49" spans="1:20">
      <x:c r="B49" s="21" t="s">
        <x:v>175</x:v>
      </x:c>
      <x:c r="C49" s="21"/>
      <x:c r="D49" s="21"/>
      <x:c r="E49" s="21"/>
      <x:c r="F49" s="20"/>
      <x:c r="G49" s="20"/>
      <x:c r="H49" s="20"/>
      <x:c r="I49" s="15"/>
    </x:row>
    <x:row r="50" spans="1:20">
      <x:c r="B50" s="19" t="s">
        <x:v>176</x:v>
      </x:c>
      <x:c r="C50" s="20"/>
      <x:c r="D50" s="20"/>
      <x:c r="E50" s="20"/>
      <x:c r="F50" s="20"/>
      <x:c r="G50" s="20"/>
      <x:c r="H50" s="21">
        <x:f>SUM(H51:H56)</x:f>
      </x:c>
      <x:c r="I50" s="22" t="s">
        <x:v>177</x:v>
      </x:c>
    </x:row>
    <x:row r="51" spans="1:20">
      <x:c r="B51" s="21" t="s">
        <x:v>178</x:v>
      </x:c>
      <x:c r="C51" s="21"/>
      <x:c r="D51" s="21"/>
      <x:c r="E51" s="21"/>
      <x:c r="F51" s="20"/>
      <x:c r="G51" s="20"/>
      <x:c r="H51" s="20"/>
      <x:c r="I51" s="15"/>
    </x:row>
    <x:row r="52" spans="1:20">
      <x:c r="B52" s="21" t="s">
        <x:v>179</x:v>
      </x:c>
      <x:c r="C52" s="21"/>
      <x:c r="D52" s="21"/>
      <x:c r="E52" s="21"/>
      <x:c r="F52" s="20">
        <x:f>F32</x:f>
      </x:c>
      <x:c r="G52" s="20">
        <x:f>G32</x:f>
      </x:c>
      <x:c r="H52" s="20">
        <x:f>H32</x:f>
      </x:c>
      <x:c r="I52" s="15"/>
    </x:row>
    <x:row r="53" spans="1:20">
      <x:c r="B53" s="21" t="s">
        <x:v>54</x:v>
      </x:c>
      <x:c r="C53" s="21"/>
      <x:c r="D53" s="21"/>
      <x:c r="E53" s="21"/>
      <x:c r="F53" s="20">
        <x:f>F31</x:f>
      </x:c>
      <x:c r="G53" s="20">
        <x:f>G31</x:f>
      </x:c>
      <x:c r="H53" s="20">
        <x:f>H31</x:f>
      </x:c>
      <x:c r="I53" s="15"/>
    </x:row>
    <x:row r="54" spans="1:20">
      <x:c r="B54" s="21" t="s">
        <x:v>180</x:v>
      </x:c>
      <x:c r="C54" s="21"/>
      <x:c r="D54" s="21"/>
      <x:c r="E54" s="21"/>
      <x:c r="F54" s="20">
        <x:f>F14+F20</x:f>
      </x:c>
      <x:c r="G54" s="20">
        <x:f>G14+G20</x:f>
      </x:c>
      <x:c r="H54" s="20">
        <x:f>H14+H20</x:f>
      </x:c>
      <x:c r="I54" s="15"/>
    </x:row>
    <x:row r="55" spans="1:20">
      <x:c r="B55" s="21" t="s">
        <x:v>181</x:v>
      </x:c>
      <x:c r="C55" s="21"/>
      <x:c r="D55" s="21"/>
      <x:c r="E55" s="21"/>
      <x:c r="F55" s="20">
        <x:f>F26</x:f>
      </x:c>
      <x:c r="G55" s="20">
        <x:f>G26</x:f>
      </x:c>
      <x:c r="H55" s="20">
        <x:f>H26</x:f>
      </x:c>
      <x:c r="I55" s="15"/>
    </x:row>
    <x:row r="56" spans="1:20">
      <x:c r="B56" s="21" t="s">
        <x:v>182</x:v>
      </x:c>
      <x:c r="C56" s="21"/>
      <x:c r="D56" s="21"/>
      <x:c r="E56" s="21"/>
      <x:c r="F56" s="20">
        <x:f>F22</x:f>
      </x:c>
      <x:c r="G56" s="20">
        <x:f>G22</x:f>
      </x:c>
      <x:c r="H56" s="20">
        <x:f>H22</x:f>
      </x:c>
      <x:c r="I56" s="15"/>
    </x:row>
    <x:row r="57" spans="1:20">
      <x:c r="B57" s="19" t="s">
        <x:v>183</x:v>
      </x:c>
      <x:c r="C57" s="20"/>
      <x:c r="D57" s="20"/>
      <x:c r="E57" s="20"/>
      <x:c r="F57" s="20"/>
      <x:c r="G57" s="20"/>
      <x:c r="H57" s="21">
        <x:f>SUM(H58:H59)</x:f>
      </x:c>
      <x:c r="I57" s="22"/>
    </x:row>
    <x:row r="58" spans="1:20">
      <x:c r="B58" s="21" t="s">
        <x:v>184</x:v>
      </x:c>
      <x:c r="C58" s="21"/>
      <x:c r="D58" s="21"/>
      <x:c r="E58" s="21"/>
      <x:c r="F58" s="20"/>
      <x:c r="G58" s="20"/>
      <x:c r="H58" s="20"/>
      <x:c r="I58" s="15"/>
    </x:row>
    <x:row r="59" spans="1:20">
      <x:c r="B59" s="21" t="s">
        <x:v>185</x:v>
      </x:c>
      <x:c r="C59" s="21"/>
      <x:c r="D59" s="21"/>
      <x:c r="E59" s="21"/>
      <x:c r="F59" s="20"/>
      <x:c r="G59" s="20"/>
      <x:c r="H59" s="20"/>
      <x:c r="I59" s="15"/>
    </x:row>
    <x:row r="60" spans="1:20">
      <x:c r="B60" s="22"/>
      <x:c r="C60" s="22"/>
      <x:c r="D60" s="22"/>
      <x:c r="E60" s="22"/>
      <x:c r="F60" s="15"/>
      <x:c r="G60" s="15"/>
      <x:c r="H60" s="22">
        <x:f>H38+H42+H50+H57</x:f>
      </x:c>
      <x:c r="I60" s="15"/>
    </x:row>
    <x:row r="61" spans="1:20">
      <x:c r="H61" s="17">
        <x:f>H60 - H36</x:f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799679D-F21B-4142-BA10-4825F8AABE67}" mc:Ignorable="x14ac xr xr2 xr3">
  <x:sheetPr>
    <x:outlinePr summaryBelow="1" summaryRight="1"/>
  </x:sheetPr>
  <x:dimension ref="A1:T48"/>
  <x:sheetViews>
    <x:sheetView topLeftCell="A26" workbookViewId="0"/>
  </x:sheetViews>
  <x:sheetFormatPr defaultColWidth="11.085625" defaultRowHeight="15.75"/>
  <x:sheetData>
    <x:row r="1" spans="1:2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</x:row>
    <x:row r="2" spans="1:20">
      <x:c r="A2" s="0">
        <x:v>1</x:v>
      </x:c>
      <x:c r="B2" s="0" t="s">
        <x:v>91</x:v>
      </x:c>
      <x:c r="C2" s="0" t="s">
        <x:v>21</x:v>
      </x:c>
      <x:c r="D2" s="0" t="s">
        <x:v>22</x:v>
      </x:c>
      <x:c r="E2" s="0">
        <x:v>1</x:v>
      </x:c>
      <x:c r="F2" s="0">
        <x:v>1</x:v>
      </x:c>
      <x:c r="G2" s="8">
        <x:v>297.5</x:v>
      </x:c>
      <x:c r="H2" s="8">
        <x:v>297.5</x:v>
      </x:c>
      <x:c r="I2" s="0" t="s">
        <x:v>23</x:v>
      </x:c>
      <x:c r="K2" s="8">
        <x:v>297.5</x:v>
      </x:c>
      <x:c r="L2" s="0" t="s">
        <x:v>24</x:v>
      </x:c>
      <x:c r="M2" s="0" t="s">
        <x:v>25</x:v>
      </x:c>
      <x:c r="N2" s="0" t="s">
        <x:v>26</x:v>
      </x:c>
      <x:c r="P2" s="0" t="s">
        <x:v>27</x:v>
      </x:c>
    </x:row>
    <x:row r="3" spans="1:20">
      <x:c r="A3" s="0">
        <x:v>2</x:v>
      </x:c>
      <x:c r="B3" s="0" t="s">
        <x:v>61</x:v>
      </x:c>
      <x:c r="C3" s="0" t="s">
        <x:v>21</x:v>
      </x:c>
      <x:c r="D3" s="0" t="s">
        <x:v>22</x:v>
      </x:c>
      <x:c r="E3" s="0">
        <x:v>1</x:v>
      </x:c>
      <x:c r="F3" s="0">
        <x:v>1</x:v>
      </x:c>
      <x:c r="G3" s="8">
        <x:v>250</x:v>
      </x:c>
      <x:c r="H3" s="8">
        <x:v>250</x:v>
      </x:c>
      <x:c r="I3" s="0" t="s">
        <x:v>23</x:v>
      </x:c>
      <x:c r="K3" s="8">
        <x:v>250</x:v>
      </x:c>
      <x:c r="L3" s="0" t="s">
        <x:v>24</x:v>
      </x:c>
      <x:c r="M3" s="0" t="s">
        <x:v>25</x:v>
      </x:c>
      <x:c r="N3" s="0" t="s">
        <x:v>26</x:v>
      </x:c>
      <x:c r="P3" s="0" t="s">
        <x:v>27</x:v>
      </x:c>
    </x:row>
    <x:row r="4" spans="1:20">
      <x:c r="A4" s="0">
        <x:v>3</x:v>
      </x:c>
      <x:c r="B4" s="0" t="s">
        <x:v>28</x:v>
      </x:c>
      <x:c r="C4" s="0" t="s">
        <x:v>21</x:v>
      </x:c>
      <x:c r="D4" s="0" t="s">
        <x:v>22</x:v>
      </x:c>
      <x:c r="E4" s="0">
        <x:v>1</x:v>
      </x:c>
      <x:c r="F4" s="0">
        <x:v>1</x:v>
      </x:c>
      <x:c r="G4" s="8">
        <x:v>250</x:v>
      </x:c>
      <x:c r="H4" s="8">
        <x:v>250</x:v>
      </x:c>
      <x:c r="I4" s="0" t="s">
        <x:v>23</x:v>
      </x:c>
      <x:c r="K4" s="8">
        <x:v>250</x:v>
      </x:c>
      <x:c r="L4" s="0" t="s">
        <x:v>24</x:v>
      </x:c>
      <x:c r="M4" s="0" t="s">
        <x:v>25</x:v>
      </x:c>
      <x:c r="N4" s="0" t="s">
        <x:v>26</x:v>
      </x:c>
      <x:c r="P4" s="0" t="s">
        <x:v>27</x:v>
      </x:c>
    </x:row>
    <x:row r="5" spans="1:20">
      <x:c r="A5" s="0">
        <x:v>4</x:v>
      </x:c>
      <x:c r="B5" s="0" t="s">
        <x:v>75</x:v>
      </x:c>
      <x:c r="C5" s="0" t="s">
        <x:v>21</x:v>
      </x:c>
      <x:c r="D5" s="0" t="s">
        <x:v>22</x:v>
      </x:c>
      <x:c r="E5" s="0">
        <x:v>1</x:v>
      </x:c>
      <x:c r="F5" s="0">
        <x:v>2</x:v>
      </x:c>
      <x:c r="G5" s="8">
        <x:v>45</x:v>
      </x:c>
      <x:c r="H5" s="8">
        <x:v>90</x:v>
      </x:c>
      <x:c r="I5" s="0" t="s">
        <x:v>23</x:v>
      </x:c>
      <x:c r="K5" s="8">
        <x:v>90</x:v>
      </x:c>
      <x:c r="L5" s="0" t="s">
        <x:v>24</x:v>
      </x:c>
      <x:c r="M5" s="0" t="s">
        <x:v>25</x:v>
      </x:c>
      <x:c r="N5" s="0" t="s">
        <x:v>26</x:v>
      </x:c>
      <x:c r="P5" s="0" t="s">
        <x:v>27</x:v>
      </x:c>
    </x:row>
    <x:row r="6" spans="1:20">
      <x:c r="A6" s="0">
        <x:v>5</x:v>
      </x:c>
      <x:c r="B6" s="0" t="s">
        <x:v>29</x:v>
      </x:c>
      <x:c r="C6" s="0" t="s">
        <x:v>21</x:v>
      </x:c>
      <x:c r="D6" s="0" t="s">
        <x:v>22</x:v>
      </x:c>
      <x:c r="E6" s="0">
        <x:v>1</x:v>
      </x:c>
      <x:c r="F6" s="0">
        <x:v>3</x:v>
      </x:c>
      <x:c r="G6" s="8">
        <x:v>250</x:v>
      </x:c>
      <x:c r="H6" s="8">
        <x:v>750</x:v>
      </x:c>
      <x:c r="I6" s="0" t="s">
        <x:v>23</x:v>
      </x:c>
      <x:c r="K6" s="8">
        <x:v>750</x:v>
      </x:c>
      <x:c r="L6" s="0" t="s">
        <x:v>24</x:v>
      </x:c>
      <x:c r="M6" s="0" t="s">
        <x:v>25</x:v>
      </x:c>
      <x:c r="N6" s="0" t="s">
        <x:v>26</x:v>
      </x:c>
      <x:c r="P6" s="0" t="s">
        <x:v>27</x:v>
      </x:c>
    </x:row>
    <x:row r="7" spans="1:20">
      <x:c r="A7" s="0">
        <x:v>6</x:v>
      </x:c>
      <x:c r="B7" s="0" t="s">
        <x:v>30</x:v>
      </x:c>
      <x:c r="C7" s="0" t="s">
        <x:v>21</x:v>
      </x:c>
      <x:c r="D7" s="0" t="s">
        <x:v>22</x:v>
      </x:c>
      <x:c r="E7" s="0">
        <x:v>1</x:v>
      </x:c>
      <x:c r="F7" s="0">
        <x:v>6</x:v>
      </x:c>
      <x:c r="G7" s="8">
        <x:v>321.75</x:v>
      </x:c>
      <x:c r="H7" s="8">
        <x:v>1930.5</x:v>
      </x:c>
      <x:c r="I7" s="0" t="s">
        <x:v>23</x:v>
      </x:c>
      <x:c r="K7" s="8">
        <x:v>1930.5</x:v>
      </x:c>
      <x:c r="L7" s="0" t="s">
        <x:v>24</x:v>
      </x:c>
      <x:c r="M7" s="0" t="s">
        <x:v>25</x:v>
      </x:c>
      <x:c r="N7" s="0" t="s">
        <x:v>26</x:v>
      </x:c>
      <x:c r="P7" s="0" t="s">
        <x:v>27</x:v>
      </x:c>
    </x:row>
    <x:row r="8" spans="1:20">
      <x:c r="A8" s="0">
        <x:v>7</x:v>
      </x:c>
      <x:c r="B8" s="0" t="s">
        <x:v>31</x:v>
      </x:c>
      <x:c r="C8" s="0" t="s">
        <x:v>21</x:v>
      </x:c>
      <x:c r="D8" s="0" t="s">
        <x:v>22</x:v>
      </x:c>
      <x:c r="E8" s="0">
        <x:v>1</x:v>
      </x:c>
      <x:c r="F8" s="0">
        <x:v>1</x:v>
      </x:c>
      <x:c r="G8" s="8">
        <x:v>100</x:v>
      </x:c>
      <x:c r="H8" s="8">
        <x:v>100</x:v>
      </x:c>
      <x:c r="I8" s="0" t="s">
        <x:v>23</x:v>
      </x:c>
      <x:c r="K8" s="8">
        <x:v>100</x:v>
      </x:c>
      <x:c r="L8" s="0" t="s">
        <x:v>24</x:v>
      </x:c>
      <x:c r="M8" s="0" t="s">
        <x:v>25</x:v>
      </x:c>
      <x:c r="N8" s="0" t="s">
        <x:v>26</x:v>
      </x:c>
      <x:c r="P8" s="0" t="s">
        <x:v>27</x:v>
      </x:c>
    </x:row>
    <x:row r="9" spans="1:20">
      <x:c r="A9" s="0">
        <x:v>8</x:v>
      </x:c>
      <x:c r="B9" s="0" t="s">
        <x:v>153</x:v>
      </x:c>
      <x:c r="C9" s="0" t="s">
        <x:v>21</x:v>
      </x:c>
      <x:c r="D9" s="0" t="s">
        <x:v>34</x:v>
      </x:c>
      <x:c r="E9" s="0">
        <x:v>1</x:v>
      </x:c>
      <x:c r="F9" s="0">
        <x:v>0.1</x:v>
      </x:c>
      <x:c r="G9" s="8">
        <x:v>2800</x:v>
      </x:c>
      <x:c r="H9" s="8">
        <x:v>280</x:v>
      </x:c>
      <x:c r="I9" s="0" t="s">
        <x:v>23</x:v>
      </x:c>
      <x:c r="K9" s="8">
        <x:v>280</x:v>
      </x:c>
      <x:c r="L9" s="0" t="s">
        <x:v>24</x:v>
      </x:c>
      <x:c r="M9" s="0" t="s">
        <x:v>25</x:v>
      </x:c>
      <x:c r="N9" s="0" t="s">
        <x:v>26</x:v>
      </x:c>
      <x:c r="P9" s="0" t="s">
        <x:v>27</x:v>
      </x:c>
    </x:row>
    <x:row r="10" spans="1:20">
      <x:c r="A10" s="0">
        <x:v>9</x:v>
      </x:c>
      <x:c r="B10" s="0" t="s">
        <x:v>79</x:v>
      </x:c>
      <x:c r="C10" s="0" t="s">
        <x:v>21</x:v>
      </x:c>
      <x:c r="D10" s="0" t="s">
        <x:v>34</x:v>
      </x:c>
      <x:c r="E10" s="0">
        <x:v>1</x:v>
      </x:c>
      <x:c r="F10" s="0">
        <x:v>0.25</x:v>
      </x:c>
      <x:c r="G10" s="8">
        <x:v>2180</x:v>
      </x:c>
      <x:c r="H10" s="8">
        <x:v>545</x:v>
      </x:c>
      <x:c r="I10" s="0" t="s">
        <x:v>23</x:v>
      </x:c>
      <x:c r="K10" s="8">
        <x:v>545</x:v>
      </x:c>
      <x:c r="L10" s="0" t="s">
        <x:v>24</x:v>
      </x:c>
      <x:c r="M10" s="0" t="s">
        <x:v>25</x:v>
      </x:c>
      <x:c r="N10" s="0" t="s">
        <x:v>26</x:v>
      </x:c>
      <x:c r="P10" s="0" t="s">
        <x:v>27</x:v>
      </x:c>
    </x:row>
    <x:row r="11" spans="1:20">
      <x:c r="A11" s="0">
        <x:v>10</x:v>
      </x:c>
      <x:c r="B11" s="0" t="s">
        <x:v>64</x:v>
      </x:c>
      <x:c r="C11" s="0" t="s">
        <x:v>21</x:v>
      </x:c>
      <x:c r="D11" s="0" t="s">
        <x:v>34</x:v>
      </x:c>
      <x:c r="E11" s="0">
        <x:v>1</x:v>
      </x:c>
      <x:c r="F11" s="0">
        <x:v>0.15</x:v>
      </x:c>
      <x:c r="G11" s="8">
        <x:v>3480</x:v>
      </x:c>
      <x:c r="H11" s="8">
        <x:v>522</x:v>
      </x:c>
      <x:c r="I11" s="0" t="s">
        <x:v>23</x:v>
      </x:c>
      <x:c r="K11" s="8">
        <x:v>522</x:v>
      </x:c>
      <x:c r="L11" s="0" t="s">
        <x:v>24</x:v>
      </x:c>
      <x:c r="M11" s="0" t="s">
        <x:v>25</x:v>
      </x:c>
      <x:c r="N11" s="0" t="s">
        <x:v>26</x:v>
      </x:c>
      <x:c r="P11" s="0" t="s">
        <x:v>27</x:v>
      </x:c>
    </x:row>
    <x:row r="12" spans="1:20">
      <x:c r="A12" s="0">
        <x:v>11</x:v>
      </x:c>
      <x:c r="B12" s="0" t="s">
        <x:v>93</x:v>
      </x:c>
      <x:c r="C12" s="0" t="s">
        <x:v>21</x:v>
      </x:c>
      <x:c r="D12" s="0" t="s">
        <x:v>34</x:v>
      </x:c>
      <x:c r="E12" s="0">
        <x:v>1</x:v>
      </x:c>
      <x:c r="F12" s="0">
        <x:v>0.021</x:v>
      </x:c>
      <x:c r="G12" s="8">
        <x:v>3480</x:v>
      </x:c>
      <x:c r="H12" s="8">
        <x:v>73.08</x:v>
      </x:c>
      <x:c r="I12" s="0" t="s">
        <x:v>23</x:v>
      </x:c>
      <x:c r="K12" s="8">
        <x:v>73.08</x:v>
      </x:c>
      <x:c r="L12" s="0" t="s">
        <x:v>24</x:v>
      </x:c>
      <x:c r="M12" s="0" t="s">
        <x:v>25</x:v>
      </x:c>
      <x:c r="N12" s="0" t="s">
        <x:v>26</x:v>
      </x:c>
      <x:c r="P12" s="0" t="s">
        <x:v>27</x:v>
      </x:c>
    </x:row>
    <x:row r="13" spans="1:20">
      <x:c r="A13" s="0">
        <x:v>12</x:v>
      </x:c>
      <x:c r="B13" s="0" t="s">
        <x:v>102</x:v>
      </x:c>
      <x:c r="C13" s="0" t="s">
        <x:v>21</x:v>
      </x:c>
      <x:c r="D13" s="0" t="s">
        <x:v>34</x:v>
      </x:c>
      <x:c r="E13" s="0">
        <x:v>1</x:v>
      </x:c>
      <x:c r="F13" s="0">
        <x:v>0.2</x:v>
      </x:c>
      <x:c r="G13" s="8">
        <x:v>4980</x:v>
      </x:c>
      <x:c r="H13" s="8">
        <x:v>996</x:v>
      </x:c>
      <x:c r="I13" s="0" t="s">
        <x:v>23</x:v>
      </x:c>
      <x:c r="K13" s="8">
        <x:v>996</x:v>
      </x:c>
      <x:c r="L13" s="0" t="s">
        <x:v>24</x:v>
      </x:c>
      <x:c r="M13" s="0" t="s">
        <x:v>25</x:v>
      </x:c>
      <x:c r="N13" s="0" t="s">
        <x:v>26</x:v>
      </x:c>
      <x:c r="P13" s="0" t="s">
        <x:v>27</x:v>
      </x:c>
    </x:row>
    <x:row r="14" spans="1:20">
      <x:c r="A14" s="0">
        <x:v>13</x:v>
      </x:c>
      <x:c r="B14" s="0" t="s">
        <x:v>70</x:v>
      </x:c>
      <x:c r="C14" s="0" t="s">
        <x:v>21</x:v>
      </x:c>
      <x:c r="D14" s="0" t="s">
        <x:v>22</x:v>
      </x:c>
      <x:c r="E14" s="0">
        <x:v>1</x:v>
      </x:c>
      <x:c r="F14" s="0">
        <x:v>4</x:v>
      </x:c>
      <x:c r="G14" s="8">
        <x:v>231.08</x:v>
      </x:c>
      <x:c r="H14" s="8">
        <x:v>924.31</x:v>
      </x:c>
      <x:c r="I14" s="0" t="s">
        <x:v>23</x:v>
      </x:c>
      <x:c r="K14" s="8">
        <x:v>924.31</x:v>
      </x:c>
      <x:c r="L14" s="0" t="s">
        <x:v>24</x:v>
      </x:c>
      <x:c r="M14" s="0" t="s">
        <x:v>25</x:v>
      </x:c>
      <x:c r="N14" s="0" t="s">
        <x:v>26</x:v>
      </x:c>
      <x:c r="P14" s="0" t="s">
        <x:v>27</x:v>
      </x:c>
    </x:row>
    <x:row r="15" spans="1:20">
      <x:c r="A15" s="0">
        <x:v>14</x:v>
      </x:c>
      <x:c r="B15" s="0" t="s">
        <x:v>37</x:v>
      </x:c>
      <x:c r="C15" s="0" t="s">
        <x:v>21</x:v>
      </x:c>
      <x:c r="D15" s="0" t="s">
        <x:v>22</x:v>
      </x:c>
      <x:c r="E15" s="0">
        <x:v>1</x:v>
      </x:c>
      <x:c r="F15" s="0">
        <x:v>2</x:v>
      </x:c>
      <x:c r="G15" s="8">
        <x:v>350</x:v>
      </x:c>
      <x:c r="H15" s="8">
        <x:v>700</x:v>
      </x:c>
      <x:c r="I15" s="0" t="s">
        <x:v>23</x:v>
      </x:c>
      <x:c r="K15" s="8">
        <x:v>700</x:v>
      </x:c>
      <x:c r="L15" s="0" t="s">
        <x:v>24</x:v>
      </x:c>
      <x:c r="M15" s="0" t="s">
        <x:v>25</x:v>
      </x:c>
      <x:c r="N15" s="0" t="s">
        <x:v>26</x:v>
      </x:c>
      <x:c r="P15" s="0" t="s">
        <x:v>27</x:v>
      </x:c>
    </x:row>
    <x:row r="16" spans="1:20">
      <x:c r="A16" s="0">
        <x:v>15</x:v>
      </x:c>
      <x:c r="B16" s="0" t="s">
        <x:v>39</x:v>
      </x:c>
      <x:c r="C16" s="0" t="s">
        <x:v>21</x:v>
      </x:c>
      <x:c r="D16" s="0" t="s">
        <x:v>22</x:v>
      </x:c>
      <x:c r="E16" s="0">
        <x:v>1</x:v>
      </x:c>
      <x:c r="F16" s="0">
        <x:v>5</x:v>
      </x:c>
      <x:c r="G16" s="8">
        <x:v>235</x:v>
      </x:c>
      <x:c r="H16" s="8">
        <x:v>1175</x:v>
      </x:c>
      <x:c r="I16" s="0" t="s">
        <x:v>23</x:v>
      </x:c>
      <x:c r="K16" s="8">
        <x:v>1175</x:v>
      </x:c>
      <x:c r="L16" s="0" t="s">
        <x:v>24</x:v>
      </x:c>
      <x:c r="M16" s="0" t="s">
        <x:v>25</x:v>
      </x:c>
      <x:c r="N16" s="0" t="s">
        <x:v>26</x:v>
      </x:c>
      <x:c r="P16" s="0" t="s">
        <x:v>27</x:v>
      </x:c>
    </x:row>
    <x:row r="17" spans="1:20">
      <x:c r="A17" s="0">
        <x:v>16</x:v>
      </x:c>
      <x:c r="B17" s="0" t="s">
        <x:v>41</x:v>
      </x:c>
      <x:c r="C17" s="0" t="s">
        <x:v>21</x:v>
      </x:c>
      <x:c r="D17" s="0" t="s">
        <x:v>22</x:v>
      </x:c>
      <x:c r="E17" s="0">
        <x:v>1</x:v>
      </x:c>
      <x:c r="F17" s="0">
        <x:v>1</x:v>
      </x:c>
      <x:c r="G17" s="8">
        <x:v>289</x:v>
      </x:c>
      <x:c r="H17" s="8">
        <x:v>289</x:v>
      </x:c>
      <x:c r="I17" s="0" t="s">
        <x:v>23</x:v>
      </x:c>
      <x:c r="K17" s="8">
        <x:v>289</x:v>
      </x:c>
      <x:c r="L17" s="0" t="s">
        <x:v>24</x:v>
      </x:c>
      <x:c r="M17" s="0" t="s">
        <x:v>25</x:v>
      </x:c>
      <x:c r="N17" s="0" t="s">
        <x:v>26</x:v>
      </x:c>
      <x:c r="P17" s="0" t="s">
        <x:v>27</x:v>
      </x:c>
    </x:row>
    <x:row r="18" spans="1:20">
      <x:c r="A18" s="0">
        <x:v>17</x:v>
      </x:c>
      <x:c r="B18" s="0" t="s">
        <x:v>127</x:v>
      </x:c>
      <x:c r="C18" s="0" t="s">
        <x:v>21</x:v>
      </x:c>
      <x:c r="D18" s="0" t="s">
        <x:v>22</x:v>
      </x:c>
      <x:c r="E18" s="0">
        <x:v>1</x:v>
      </x:c>
      <x:c r="F18" s="0">
        <x:v>1</x:v>
      </x:c>
      <x:c r="G18" s="8">
        <x:v>220</x:v>
      </x:c>
      <x:c r="H18" s="8">
        <x:v>220</x:v>
      </x:c>
      <x:c r="I18" s="0" t="s">
        <x:v>23</x:v>
      </x:c>
      <x:c r="K18" s="8">
        <x:v>220</x:v>
      </x:c>
      <x:c r="L18" s="0" t="s">
        <x:v>24</x:v>
      </x:c>
      <x:c r="M18" s="0" t="s">
        <x:v>25</x:v>
      </x:c>
      <x:c r="N18" s="0" t="s">
        <x:v>26</x:v>
      </x:c>
      <x:c r="P18" s="0" t="s">
        <x:v>27</x:v>
      </x:c>
    </x:row>
    <x:row r="19" spans="1:20">
      <x:c r="A19" s="0">
        <x:v>18</x:v>
      </x:c>
      <x:c r="B19" s="0" t="s">
        <x:v>149</x:v>
      </x:c>
      <x:c r="C19" s="0" t="s">
        <x:v>21</x:v>
      </x:c>
      <x:c r="D19" s="0" t="s">
        <x:v>34</x:v>
      </x:c>
      <x:c r="E19" s="0">
        <x:v>1</x:v>
      </x:c>
      <x:c r="F19" s="0">
        <x:v>0.1</x:v>
      </x:c>
      <x:c r="G19" s="8">
        <x:v>2908.9</x:v>
      </x:c>
      <x:c r="H19" s="8">
        <x:v>290.89</x:v>
      </x:c>
      <x:c r="I19" s="0" t="s">
        <x:v>23</x:v>
      </x:c>
      <x:c r="K19" s="8">
        <x:v>290.89</x:v>
      </x:c>
      <x:c r="L19" s="0" t="s">
        <x:v>24</x:v>
      </x:c>
      <x:c r="M19" s="0" t="s">
        <x:v>25</x:v>
      </x:c>
      <x:c r="N19" s="0" t="s">
        <x:v>26</x:v>
      </x:c>
      <x:c r="P19" s="0" t="s">
        <x:v>27</x:v>
      </x:c>
    </x:row>
    <x:row r="20" spans="1:20">
      <x:c r="A20" s="0">
        <x:v>19</x:v>
      </x:c>
      <x:c r="B20" s="0" t="s">
        <x:v>44</x:v>
      </x:c>
      <x:c r="C20" s="0" t="s">
        <x:v>21</x:v>
      </x:c>
      <x:c r="D20" s="0" t="s">
        <x:v>22</x:v>
      </x:c>
      <x:c r="E20" s="0">
        <x:v>1</x:v>
      </x:c>
      <x:c r="F20" s="0">
        <x:v>3</x:v>
      </x:c>
      <x:c r="G20" s="8">
        <x:v>80.67</x:v>
      </x:c>
      <x:c r="H20" s="8">
        <x:v>242</x:v>
      </x:c>
      <x:c r="I20" s="0" t="s">
        <x:v>23</x:v>
      </x:c>
      <x:c r="K20" s="8">
        <x:v>242</x:v>
      </x:c>
      <x:c r="L20" s="0" t="s">
        <x:v>24</x:v>
      </x:c>
      <x:c r="M20" s="0" t="s">
        <x:v>25</x:v>
      </x:c>
      <x:c r="N20" s="0" t="s">
        <x:v>26</x:v>
      </x:c>
      <x:c r="P20" s="0" t="s">
        <x:v>27</x:v>
      </x:c>
    </x:row>
    <x:row r="21" spans="1:20">
      <x:c r="A21" s="0">
        <x:v>20</x:v>
      </x:c>
      <x:c r="B21" s="0" t="s">
        <x:v>151</x:v>
      </x:c>
      <x:c r="C21" s="0" t="s">
        <x:v>21</x:v>
      </x:c>
      <x:c r="D21" s="0" t="s">
        <x:v>22</x:v>
      </x:c>
      <x:c r="E21" s="0">
        <x:v>1</x:v>
      </x:c>
      <x:c r="F21" s="0">
        <x:v>1</x:v>
      </x:c>
      <x:c r="G21" s="8">
        <x:v>55</x:v>
      </x:c>
      <x:c r="H21" s="8">
        <x:v>55</x:v>
      </x:c>
      <x:c r="I21" s="0" t="s">
        <x:v>23</x:v>
      </x:c>
      <x:c r="K21" s="8">
        <x:v>55</x:v>
      </x:c>
      <x:c r="L21" s="0" t="s">
        <x:v>24</x:v>
      </x:c>
      <x:c r="M21" s="0" t="s">
        <x:v>25</x:v>
      </x:c>
      <x:c r="N21" s="0" t="s">
        <x:v>26</x:v>
      </x:c>
      <x:c r="P21" s="0" t="s">
        <x:v>27</x:v>
      </x:c>
    </x:row>
    <x:row r="22" spans="1:20">
      <x:c r="A22" s="0">
        <x:v>21</x:v>
      </x:c>
      <x:c r="B22" s="0" t="s">
        <x:v>46</x:v>
      </x:c>
      <x:c r="C22" s="0" t="s">
        <x:v>21</x:v>
      </x:c>
      <x:c r="D22" s="0" t="s">
        <x:v>22</x:v>
      </x:c>
      <x:c r="E22" s="0">
        <x:v>1</x:v>
      </x:c>
      <x:c r="F22" s="0">
        <x:v>2</x:v>
      </x:c>
      <x:c r="G22" s="8">
        <x:v>152.9</x:v>
      </x:c>
      <x:c r="H22" s="8">
        <x:v>305.79</x:v>
      </x:c>
      <x:c r="I22" s="0" t="s">
        <x:v>23</x:v>
      </x:c>
      <x:c r="K22" s="8">
        <x:v>305.79</x:v>
      </x:c>
      <x:c r="L22" s="0" t="s">
        <x:v>24</x:v>
      </x:c>
      <x:c r="M22" s="0" t="s">
        <x:v>25</x:v>
      </x:c>
      <x:c r="N22" s="0" t="s">
        <x:v>26</x:v>
      </x:c>
      <x:c r="P22" s="0" t="s">
        <x:v>27</x:v>
      </x:c>
    </x:row>
    <x:row r="23" spans="1:20">
      <x:c r="A23" s="0">
        <x:v>22</x:v>
      </x:c>
      <x:c r="B23" s="0" t="s">
        <x:v>47</x:v>
      </x:c>
      <x:c r="C23" s="0" t="s">
        <x:v>21</x:v>
      </x:c>
      <x:c r="D23" s="0" t="s">
        <x:v>22</x:v>
      </x:c>
      <x:c r="E23" s="0">
        <x:v>1</x:v>
      </x:c>
      <x:c r="F23" s="0">
        <x:v>7</x:v>
      </x:c>
      <x:c r="G23" s="8">
        <x:v>234.17</x:v>
      </x:c>
      <x:c r="H23" s="8">
        <x:v>1639.17</x:v>
      </x:c>
      <x:c r="I23" s="0" t="s">
        <x:v>23</x:v>
      </x:c>
      <x:c r="K23" s="8">
        <x:v>1639.17</x:v>
      </x:c>
      <x:c r="L23" s="0" t="s">
        <x:v>24</x:v>
      </x:c>
      <x:c r="M23" s="0" t="s">
        <x:v>25</x:v>
      </x:c>
      <x:c r="N23" s="0" t="s">
        <x:v>26</x:v>
      </x:c>
      <x:c r="P23" s="0" t="s">
        <x:v>27</x:v>
      </x:c>
    </x:row>
    <x:row r="24" spans="1:20">
      <x:c r="A24" s="0">
        <x:v>23</x:v>
      </x:c>
      <x:c r="B24" s="0" t="s">
        <x:v>104</x:v>
      </x:c>
      <x:c r="C24" s="0" t="s">
        <x:v>21</x:v>
      </x:c>
      <x:c r="D24" s="0" t="s">
        <x:v>34</x:v>
      </x:c>
      <x:c r="E24" s="0">
        <x:v>1</x:v>
      </x:c>
      <x:c r="F24" s="0">
        <x:v>0.1</x:v>
      </x:c>
      <x:c r="G24" s="8">
        <x:v>3296.8</x:v>
      </x:c>
      <x:c r="H24" s="8">
        <x:v>329.68</x:v>
      </x:c>
      <x:c r="I24" s="0" t="s">
        <x:v>23</x:v>
      </x:c>
      <x:c r="K24" s="8">
        <x:v>329.68</x:v>
      </x:c>
      <x:c r="L24" s="0" t="s">
        <x:v>24</x:v>
      </x:c>
      <x:c r="M24" s="0" t="s">
        <x:v>25</x:v>
      </x:c>
      <x:c r="N24" s="0" t="s">
        <x:v>26</x:v>
      </x:c>
      <x:c r="P24" s="0" t="s">
        <x:v>27</x:v>
      </x:c>
    </x:row>
    <x:row r="25" spans="1:20">
      <x:c r="A25" s="0">
        <x:v>24</x:v>
      </x:c>
      <x:c r="B25" s="0" t="s">
        <x:v>71</x:v>
      </x:c>
      <x:c r="C25" s="0" t="s">
        <x:v>21</x:v>
      </x:c>
      <x:c r="D25" s="0" t="s">
        <x:v>22</x:v>
      </x:c>
      <x:c r="E25" s="0">
        <x:v>1</x:v>
      </x:c>
      <x:c r="F25" s="0">
        <x:v>2</x:v>
      </x:c>
      <x:c r="G25" s="8">
        <x:v>138.5</x:v>
      </x:c>
      <x:c r="H25" s="8">
        <x:v>277</x:v>
      </x:c>
      <x:c r="I25" s="0" t="s">
        <x:v>23</x:v>
      </x:c>
      <x:c r="K25" s="8">
        <x:v>277</x:v>
      </x:c>
      <x:c r="L25" s="0" t="s">
        <x:v>24</x:v>
      </x:c>
      <x:c r="M25" s="0" t="s">
        <x:v>25</x:v>
      </x:c>
      <x:c r="N25" s="0" t="s">
        <x:v>26</x:v>
      </x:c>
      <x:c r="P25" s="0" t="s">
        <x:v>27</x:v>
      </x:c>
    </x:row>
    <x:row r="26" spans="1:20">
      <x:c r="A26" s="0">
        <x:v>25</x:v>
      </x:c>
      <x:c r="B26" s="0" t="s">
        <x:v>95</x:v>
      </x:c>
      <x:c r="C26" s="0" t="s">
        <x:v>21</x:v>
      </x:c>
      <x:c r="D26" s="0" t="s">
        <x:v>22</x:v>
      </x:c>
      <x:c r="E26" s="0">
        <x:v>1</x:v>
      </x:c>
      <x:c r="F26" s="0">
        <x:v>1</x:v>
      </x:c>
      <x:c r="G26" s="8">
        <x:v>255</x:v>
      </x:c>
      <x:c r="H26" s="8">
        <x:v>255</x:v>
      </x:c>
      <x:c r="I26" s="0" t="s">
        <x:v>23</x:v>
      </x:c>
      <x:c r="K26" s="8">
        <x:v>255</x:v>
      </x:c>
      <x:c r="L26" s="0" t="s">
        <x:v>24</x:v>
      </x:c>
      <x:c r="M26" s="0" t="s">
        <x:v>25</x:v>
      </x:c>
      <x:c r="N26" s="0" t="s">
        <x:v>26</x:v>
      </x:c>
      <x:c r="P26" s="0" t="s">
        <x:v>27</x:v>
      </x:c>
    </x:row>
    <x:row r="27" spans="1:20">
      <x:c r="A27" s="0">
        <x:v>26</x:v>
      </x:c>
      <x:c r="B27" s="0" t="s">
        <x:v>144</x:v>
      </x:c>
      <x:c r="C27" s="0" t="s">
        <x:v>21</x:v>
      </x:c>
      <x:c r="D27" s="0" t="s">
        <x:v>22</x:v>
      </x:c>
      <x:c r="E27" s="0">
        <x:v>1</x:v>
      </x:c>
      <x:c r="F27" s="0">
        <x:v>1</x:v>
      </x:c>
      <x:c r="G27" s="8">
        <x:v>15</x:v>
      </x:c>
      <x:c r="H27" s="8">
        <x:v>15</x:v>
      </x:c>
      <x:c r="I27" s="0" t="s">
        <x:v>23</x:v>
      </x:c>
      <x:c r="K27" s="8">
        <x:v>15</x:v>
      </x:c>
      <x:c r="L27" s="0" t="s">
        <x:v>24</x:v>
      </x:c>
      <x:c r="M27" s="0" t="s">
        <x:v>25</x:v>
      </x:c>
      <x:c r="N27" s="0" t="s">
        <x:v>26</x:v>
      </x:c>
      <x:c r="P27" s="0" t="s">
        <x:v>27</x:v>
      </x:c>
    </x:row>
    <x:row r="28" spans="1:20">
      <x:c r="A28" s="0">
        <x:v>27</x:v>
      </x:c>
      <x:c r="B28" s="0" t="s">
        <x:v>107</x:v>
      </x:c>
      <x:c r="C28" s="0" t="s">
        <x:v>21</x:v>
      </x:c>
      <x:c r="D28" s="0" t="s">
        <x:v>34</x:v>
      </x:c>
      <x:c r="E28" s="0">
        <x:v>1</x:v>
      </x:c>
      <x:c r="F28" s="0">
        <x:v>0.1</x:v>
      </x:c>
      <x:c r="G28" s="8">
        <x:v>4654.1</x:v>
      </x:c>
      <x:c r="H28" s="8">
        <x:v>465.41</x:v>
      </x:c>
      <x:c r="I28" s="0" t="s">
        <x:v>23</x:v>
      </x:c>
      <x:c r="K28" s="8">
        <x:v>465.41</x:v>
      </x:c>
      <x:c r="L28" s="0" t="s">
        <x:v>24</x:v>
      </x:c>
      <x:c r="M28" s="0" t="s">
        <x:v>25</x:v>
      </x:c>
      <x:c r="N28" s="0" t="s">
        <x:v>26</x:v>
      </x:c>
      <x:c r="P28" s="0" t="s">
        <x:v>27</x:v>
      </x:c>
    </x:row>
    <x:row r="29" spans="1:20">
      <x:c r="A29" s="0">
        <x:v>28</x:v>
      </x:c>
      <x:c r="B29" s="0" t="s">
        <x:v>96</x:v>
      </x:c>
      <x:c r="C29" s="0" t="s">
        <x:v>21</x:v>
      </x:c>
      <x:c r="D29" s="0" t="s">
        <x:v>34</x:v>
      </x:c>
      <x:c r="E29" s="0">
        <x:v>1</x:v>
      </x:c>
      <x:c r="F29" s="0">
        <x:v>0.1</x:v>
      </x:c>
      <x:c r="G29" s="8">
        <x:v>3471.2</x:v>
      </x:c>
      <x:c r="H29" s="8">
        <x:v>347.12</x:v>
      </x:c>
      <x:c r="I29" s="0" t="s">
        <x:v>23</x:v>
      </x:c>
      <x:c r="K29" s="8">
        <x:v>347.12</x:v>
      </x:c>
      <x:c r="L29" s="0" t="s">
        <x:v>24</x:v>
      </x:c>
      <x:c r="M29" s="0" t="s">
        <x:v>25</x:v>
      </x:c>
      <x:c r="N29" s="0" t="s">
        <x:v>26</x:v>
      </x:c>
      <x:c r="P29" s="0" t="s">
        <x:v>27</x:v>
      </x:c>
    </x:row>
    <x:row r="30" spans="1:20">
      <x:c r="A30" s="0">
        <x:v>29</x:v>
      </x:c>
      <x:c r="B30" s="0" t="s">
        <x:v>50</x:v>
      </x:c>
      <x:c r="C30" s="0" t="s">
        <x:v>21</x:v>
      </x:c>
      <x:c r="D30" s="0" t="s">
        <x:v>22</x:v>
      </x:c>
      <x:c r="E30" s="0">
        <x:v>1</x:v>
      </x:c>
      <x:c r="F30" s="0">
        <x:v>3</x:v>
      </x:c>
      <x:c r="G30" s="8">
        <x:v>150</x:v>
      </x:c>
      <x:c r="H30" s="8">
        <x:v>450</x:v>
      </x:c>
      <x:c r="I30" s="0" t="s">
        <x:v>23</x:v>
      </x:c>
      <x:c r="K30" s="8">
        <x:v>450</x:v>
      </x:c>
      <x:c r="L30" s="0" t="s">
        <x:v>24</x:v>
      </x:c>
      <x:c r="M30" s="0" t="s">
        <x:v>25</x:v>
      </x:c>
      <x:c r="N30" s="0" t="s">
        <x:v>26</x:v>
      </x:c>
      <x:c r="P30" s="0" t="s">
        <x:v>27</x:v>
      </x:c>
    </x:row>
    <x:row r="31" spans="1:20">
      <x:c r="A31" s="0">
        <x:v>30</x:v>
      </x:c>
      <x:c r="B31" s="0" t="s">
        <x:v>154</x:v>
      </x:c>
      <x:c r="C31" s="0" t="s">
        <x:v>21</x:v>
      </x:c>
      <x:c r="D31" s="0" t="s">
        <x:v>34</x:v>
      </x:c>
      <x:c r="E31" s="0">
        <x:v>1</x:v>
      </x:c>
      <x:c r="F31" s="0">
        <x:v>0.1</x:v>
      </x:c>
      <x:c r="G31" s="8">
        <x:v>3413.1</x:v>
      </x:c>
      <x:c r="H31" s="8">
        <x:v>341.31</x:v>
      </x:c>
      <x:c r="I31" s="0" t="s">
        <x:v>23</x:v>
      </x:c>
      <x:c r="K31" s="8">
        <x:v>341.31</x:v>
      </x:c>
      <x:c r="L31" s="0" t="s">
        <x:v>24</x:v>
      </x:c>
      <x:c r="M31" s="0" t="s">
        <x:v>25</x:v>
      </x:c>
      <x:c r="N31" s="0" t="s">
        <x:v>26</x:v>
      </x:c>
      <x:c r="P31" s="0" t="s">
        <x:v>27</x:v>
      </x:c>
    </x:row>
    <x:row r="32" spans="1:20">
      <x:c r="A32" s="0">
        <x:v>31</x:v>
      </x:c>
      <x:c r="B32" s="0" t="s">
        <x:v>51</x:v>
      </x:c>
      <x:c r="C32" s="0" t="s">
        <x:v>21</x:v>
      </x:c>
      <x:c r="D32" s="0" t="s">
        <x:v>22</x:v>
      </x:c>
      <x:c r="E32" s="0">
        <x:v>1</x:v>
      </x:c>
      <x:c r="F32" s="0">
        <x:v>7</x:v>
      </x:c>
      <x:c r="G32" s="8">
        <x:v>54.84</x:v>
      </x:c>
      <x:c r="H32" s="8">
        <x:v>383.9</x:v>
      </x:c>
      <x:c r="I32" s="0" t="s">
        <x:v>23</x:v>
      </x:c>
      <x:c r="K32" s="8">
        <x:v>383.9</x:v>
      </x:c>
      <x:c r="L32" s="0" t="s">
        <x:v>24</x:v>
      </x:c>
      <x:c r="M32" s="0" t="s">
        <x:v>25</x:v>
      </x:c>
      <x:c r="N32" s="0" t="s">
        <x:v>26</x:v>
      </x:c>
      <x:c r="P32" s="0" t="s">
        <x:v>27</x:v>
      </x:c>
    </x:row>
    <x:row r="33" spans="1:20">
      <x:c r="A33" s="0">
        <x:v>32</x:v>
      </x:c>
      <x:c r="B33" s="0" t="s">
        <x:v>97</x:v>
      </x:c>
      <x:c r="C33" s="0" t="s">
        <x:v>21</x:v>
      </x:c>
      <x:c r="D33" s="0" t="s">
        <x:v>22</x:v>
      </x:c>
      <x:c r="E33" s="0">
        <x:v>1</x:v>
      </x:c>
      <x:c r="F33" s="0">
        <x:v>1</x:v>
      </x:c>
      <x:c r="G33" s="8">
        <x:v>30</x:v>
      </x:c>
      <x:c r="H33" s="8">
        <x:v>30</x:v>
      </x:c>
      <x:c r="I33" s="0" t="s">
        <x:v>23</x:v>
      </x:c>
      <x:c r="K33" s="8">
        <x:v>30</x:v>
      </x:c>
      <x:c r="L33" s="0" t="s">
        <x:v>24</x:v>
      </x:c>
      <x:c r="M33" s="0" t="s">
        <x:v>25</x:v>
      </x:c>
      <x:c r="N33" s="0" t="s">
        <x:v>26</x:v>
      </x:c>
      <x:c r="P33" s="0" t="s">
        <x:v>27</x:v>
      </x:c>
    </x:row>
    <x:row r="34" spans="1:20">
      <x:c r="A34" s="0">
        <x:v>33</x:v>
      </x:c>
      <x:c r="B34" s="0" t="s">
        <x:v>52</x:v>
      </x:c>
      <x:c r="C34" s="0" t="s">
        <x:v>21</x:v>
      </x:c>
      <x:c r="D34" s="0" t="s">
        <x:v>22</x:v>
      </x:c>
      <x:c r="E34" s="0">
        <x:v>1</x:v>
      </x:c>
      <x:c r="F34" s="0">
        <x:v>3</x:v>
      </x:c>
      <x:c r="G34" s="8">
        <x:v>256.5</x:v>
      </x:c>
      <x:c r="H34" s="8">
        <x:v>769.5</x:v>
      </x:c>
      <x:c r="I34" s="0" t="s">
        <x:v>23</x:v>
      </x:c>
      <x:c r="K34" s="8">
        <x:v>769.5</x:v>
      </x:c>
      <x:c r="L34" s="0" t="s">
        <x:v>24</x:v>
      </x:c>
      <x:c r="M34" s="0" t="s">
        <x:v>25</x:v>
      </x:c>
      <x:c r="N34" s="0" t="s">
        <x:v>26</x:v>
      </x:c>
      <x:c r="P34" s="0" t="s">
        <x:v>27</x:v>
      </x:c>
    </x:row>
    <x:row r="35" spans="1:20">
      <x:c r="A35" s="0">
        <x:v>34</x:v>
      </x:c>
      <x:c r="B35" s="0" t="s">
        <x:v>53</x:v>
      </x:c>
      <x:c r="C35" s="0" t="s">
        <x:v>21</x:v>
      </x:c>
      <x:c r="D35" s="0" t="s">
        <x:v>22</x:v>
      </x:c>
      <x:c r="E35" s="0">
        <x:v>1</x:v>
      </x:c>
      <x:c r="F35" s="0">
        <x:v>1</x:v>
      </x:c>
      <x:c r="G35" s="8">
        <x:v>40</x:v>
      </x:c>
      <x:c r="H35" s="8">
        <x:v>40</x:v>
      </x:c>
      <x:c r="I35" s="0" t="s">
        <x:v>23</x:v>
      </x:c>
      <x:c r="K35" s="8">
        <x:v>40</x:v>
      </x:c>
      <x:c r="L35" s="0" t="s">
        <x:v>24</x:v>
      </x:c>
      <x:c r="M35" s="0" t="s">
        <x:v>25</x:v>
      </x:c>
      <x:c r="N35" s="0" t="s">
        <x:v>26</x:v>
      </x:c>
      <x:c r="P35" s="0" t="s">
        <x:v>27</x:v>
      </x:c>
    </x:row>
    <x:row r="36" spans="1:20">
      <x:c r="A36" s="0">
        <x:v>35</x:v>
      </x:c>
      <x:c r="B36" s="0" t="s">
        <x:v>128</x:v>
      </x:c>
      <x:c r="C36" s="0" t="s">
        <x:v>21</x:v>
      </x:c>
      <x:c r="D36" s="0" t="s">
        <x:v>34</x:v>
      </x:c>
      <x:c r="E36" s="0">
        <x:v>1</x:v>
      </x:c>
      <x:c r="F36" s="0">
        <x:v>0.05</x:v>
      </x:c>
      <x:c r="G36" s="8">
        <x:v>3000</x:v>
      </x:c>
      <x:c r="H36" s="8">
        <x:v>150</x:v>
      </x:c>
      <x:c r="I36" s="0" t="s">
        <x:v>23</x:v>
      </x:c>
      <x:c r="K36" s="8">
        <x:v>150</x:v>
      </x:c>
      <x:c r="L36" s="0" t="s">
        <x:v>24</x:v>
      </x:c>
      <x:c r="M36" s="0" t="s">
        <x:v>25</x:v>
      </x:c>
      <x:c r="N36" s="0" t="s">
        <x:v>26</x:v>
      </x:c>
      <x:c r="P36" s="0" t="s">
        <x:v>27</x:v>
      </x:c>
    </x:row>
    <x:row r="37" spans="1:20">
      <x:c r="A37" s="0">
        <x:v>36</x:v>
      </x:c>
      <x:c r="B37" s="0" t="s">
        <x:v>54</x:v>
      </x:c>
      <x:c r="C37" s="0" t="s">
        <x:v>21</x:v>
      </x:c>
      <x:c r="D37" s="0" t="s">
        <x:v>22</x:v>
      </x:c>
      <x:c r="E37" s="0">
        <x:v>1</x:v>
      </x:c>
      <x:c r="F37" s="0">
        <x:v>2</x:v>
      </x:c>
      <x:c r="G37" s="8">
        <x:v>230</x:v>
      </x:c>
      <x:c r="H37" s="8">
        <x:v>460</x:v>
      </x:c>
      <x:c r="I37" s="0" t="s">
        <x:v>23</x:v>
      </x:c>
      <x:c r="K37" s="8">
        <x:v>460</x:v>
      </x:c>
      <x:c r="L37" s="0" t="s">
        <x:v>24</x:v>
      </x:c>
      <x:c r="M37" s="0" t="s">
        <x:v>25</x:v>
      </x:c>
      <x:c r="N37" s="0" t="s">
        <x:v>26</x:v>
      </x:c>
      <x:c r="P37" s="0" t="s">
        <x:v>27</x:v>
      </x:c>
    </x:row>
    <x:row r="38" spans="1:20">
      <x:c r="A38" s="0">
        <x:v>37</x:v>
      </x:c>
      <x:c r="B38" s="0" t="s">
        <x:v>55</x:v>
      </x:c>
      <x:c r="C38" s="0" t="s">
        <x:v>21</x:v>
      </x:c>
      <x:c r="D38" s="0" t="s">
        <x:v>22</x:v>
      </x:c>
      <x:c r="E38" s="0">
        <x:v>1</x:v>
      </x:c>
      <x:c r="F38" s="0">
        <x:v>8</x:v>
      </x:c>
      <x:c r="G38" s="8">
        <x:v>313.73</x:v>
      </x:c>
      <x:c r="H38" s="8">
        <x:v>2509.83</x:v>
      </x:c>
      <x:c r="I38" s="0" t="s">
        <x:v>23</x:v>
      </x:c>
      <x:c r="K38" s="8">
        <x:v>2509.83</x:v>
      </x:c>
      <x:c r="L38" s="0" t="s">
        <x:v>24</x:v>
      </x:c>
      <x:c r="M38" s="0" t="s">
        <x:v>25</x:v>
      </x:c>
      <x:c r="N38" s="0" t="s">
        <x:v>26</x:v>
      </x:c>
      <x:c r="P38" s="0" t="s">
        <x:v>27</x:v>
      </x:c>
    </x:row>
    <x:row r="39" spans="1:20">
      <x:c r="A39" s="0">
        <x:v>38</x:v>
      </x:c>
      <x:c r="B39" s="0" t="s">
        <x:v>115</x:v>
      </x:c>
      <x:c r="C39" s="0" t="s">
        <x:v>21</x:v>
      </x:c>
      <x:c r="D39" s="0" t="s">
        <x:v>34</x:v>
      </x:c>
      <x:c r="E39" s="0">
        <x:v>1</x:v>
      </x:c>
      <x:c r="F39" s="0">
        <x:v>0.1</x:v>
      </x:c>
      <x:c r="G39" s="8">
        <x:v>2800</x:v>
      </x:c>
      <x:c r="H39" s="8">
        <x:v>280</x:v>
      </x:c>
      <x:c r="I39" s="0" t="s">
        <x:v>23</x:v>
      </x:c>
      <x:c r="K39" s="8">
        <x:v>280</x:v>
      </x:c>
      <x:c r="L39" s="0" t="s">
        <x:v>24</x:v>
      </x:c>
      <x:c r="M39" s="0" t="s">
        <x:v>25</x:v>
      </x:c>
      <x:c r="N39" s="0" t="s">
        <x:v>26</x:v>
      </x:c>
      <x:c r="P39" s="0" t="s">
        <x:v>27</x:v>
      </x:c>
    </x:row>
    <x:row r="40" spans="1:20">
      <x:c r="A40" s="0">
        <x:v>39</x:v>
      </x:c>
      <x:c r="B40" s="0" t="s">
        <x:v>155</x:v>
      </x:c>
      <x:c r="C40" s="0" t="s">
        <x:v>21</x:v>
      </x:c>
      <x:c r="D40" s="0" t="s">
        <x:v>22</x:v>
      </x:c>
      <x:c r="E40" s="0">
        <x:v>1</x:v>
      </x:c>
      <x:c r="F40" s="0">
        <x:v>1</x:v>
      </x:c>
      <x:c r="G40" s="8">
        <x:v>180</x:v>
      </x:c>
      <x:c r="H40" s="8">
        <x:v>180</x:v>
      </x:c>
      <x:c r="I40" s="0" t="s">
        <x:v>23</x:v>
      </x:c>
      <x:c r="K40" s="8">
        <x:v>180</x:v>
      </x:c>
      <x:c r="L40" s="0" t="s">
        <x:v>24</x:v>
      </x:c>
      <x:c r="M40" s="0" t="s">
        <x:v>25</x:v>
      </x:c>
      <x:c r="N40" s="0" t="s">
        <x:v>26</x:v>
      </x:c>
      <x:c r="P40" s="0" t="s">
        <x:v>27</x:v>
      </x:c>
    </x:row>
    <x:row r="41" spans="1:20">
      <x:c r="A41" s="0">
        <x:v>40</x:v>
      </x:c>
      <x:c r="B41" s="0" t="s">
        <x:v>57</x:v>
      </x:c>
      <x:c r="C41" s="0" t="s">
        <x:v>21</x:v>
      </x:c>
      <x:c r="D41" s="0" t="s">
        <x:v>22</x:v>
      </x:c>
      <x:c r="E41" s="0">
        <x:v>1</x:v>
      </x:c>
      <x:c r="F41" s="0">
        <x:v>6</x:v>
      </x:c>
      <x:c r="G41" s="8">
        <x:v>146.25</x:v>
      </x:c>
      <x:c r="H41" s="8">
        <x:v>877.5</x:v>
      </x:c>
      <x:c r="I41" s="0" t="s">
        <x:v>23</x:v>
      </x:c>
      <x:c r="K41" s="8">
        <x:v>877.5</x:v>
      </x:c>
      <x:c r="L41" s="0" t="s">
        <x:v>24</x:v>
      </x:c>
      <x:c r="M41" s="0" t="s">
        <x:v>25</x:v>
      </x:c>
      <x:c r="N41" s="0" t="s">
        <x:v>26</x:v>
      </x:c>
      <x:c r="P41" s="0" t="s">
        <x:v>27</x:v>
      </x:c>
    </x:row>
    <x:row r="42" spans="1:20">
      <x:c r="A42" s="0">
        <x:v>41</x:v>
      </x:c>
      <x:c r="B42" s="0" t="s">
        <x:v>129</x:v>
      </x:c>
      <x:c r="C42" s="0" t="s">
        <x:v>21</x:v>
      </x:c>
      <x:c r="D42" s="0" t="s">
        <x:v>22</x:v>
      </x:c>
      <x:c r="E42" s="0">
        <x:v>1</x:v>
      </x:c>
      <x:c r="F42" s="0">
        <x:v>1</x:v>
      </x:c>
      <x:c r="G42" s="8">
        <x:v>800</x:v>
      </x:c>
      <x:c r="H42" s="8">
        <x:v>800</x:v>
      </x:c>
      <x:c r="I42" s="0" t="s">
        <x:v>23</x:v>
      </x:c>
      <x:c r="K42" s="8">
        <x:v>800</x:v>
      </x:c>
      <x:c r="L42" s="0" t="s">
        <x:v>24</x:v>
      </x:c>
      <x:c r="M42" s="0" t="s">
        <x:v>25</x:v>
      </x:c>
      <x:c r="N42" s="0" t="s">
        <x:v>26</x:v>
      </x:c>
      <x:c r="P42" s="0" t="s">
        <x:v>27</x:v>
      </x:c>
    </x:row>
    <x:row r="43" spans="1:20">
      <x:c r="A43" s="0">
        <x:v>42</x:v>
      </x:c>
      <x:c r="B43" s="0" t="s">
        <x:v>58</x:v>
      </x:c>
      <x:c r="C43" s="0" t="s">
        <x:v>21</x:v>
      </x:c>
      <x:c r="D43" s="0" t="s">
        <x:v>22</x:v>
      </x:c>
      <x:c r="E43" s="0">
        <x:v>1</x:v>
      </x:c>
      <x:c r="F43" s="0">
        <x:v>1</x:v>
      </x:c>
      <x:c r="G43" s="8">
        <x:v>280</x:v>
      </x:c>
      <x:c r="H43" s="8">
        <x:v>280</x:v>
      </x:c>
      <x:c r="I43" s="0" t="s">
        <x:v>23</x:v>
      </x:c>
      <x:c r="K43" s="8">
        <x:v>280</x:v>
      </x:c>
      <x:c r="L43" s="0" t="s">
        <x:v>24</x:v>
      </x:c>
      <x:c r="M43" s="0" t="s">
        <x:v>25</x:v>
      </x:c>
      <x:c r="N43" s="0" t="s">
        <x:v>26</x:v>
      </x:c>
      <x:c r="P43" s="0" t="s">
        <x:v>27</x:v>
      </x:c>
    </x:row>
    <x:row r="44" spans="1:20">
      <x:c r="A44" s="0">
        <x:v>43</x:v>
      </x:c>
      <x:c r="B44" s="0" t="s">
        <x:v>156</x:v>
      </x:c>
      <x:c r="C44" s="0" t="s">
        <x:v>21</x:v>
      </x:c>
      <x:c r="D44" s="0" t="s">
        <x:v>34</x:v>
      </x:c>
      <x:c r="E44" s="0">
        <x:v>1</x:v>
      </x:c>
      <x:c r="F44" s="0">
        <x:v>0.1</x:v>
      </x:c>
      <x:c r="G44" s="8">
        <x:v>2618</x:v>
      </x:c>
      <x:c r="H44" s="8">
        <x:v>261.8</x:v>
      </x:c>
      <x:c r="I44" s="0" t="s">
        <x:v>23</x:v>
      </x:c>
      <x:c r="K44" s="8">
        <x:v>261.8</x:v>
      </x:c>
      <x:c r="L44" s="0" t="s">
        <x:v>24</x:v>
      </x:c>
      <x:c r="M44" s="0" t="s">
        <x:v>25</x:v>
      </x:c>
      <x:c r="N44" s="0" t="s">
        <x:v>26</x:v>
      </x:c>
      <x:c r="P44" s="0" t="s">
        <x:v>27</x:v>
      </x:c>
    </x:row>
    <x:row r="45" spans="1:20">
      <x:c r="A45" s="0">
        <x:v>44</x:v>
      </x:c>
      <x:c r="B45" s="0" t="s">
        <x:v>111</x:v>
      </x:c>
      <x:c r="C45" s="0" t="s">
        <x:v>21</x:v>
      </x:c>
      <x:c r="D45" s="0" t="s">
        <x:v>34</x:v>
      </x:c>
      <x:c r="E45" s="0">
        <x:v>1</x:v>
      </x:c>
      <x:c r="F45" s="0">
        <x:v>0.1</x:v>
      </x:c>
      <x:c r="G45" s="8">
        <x:v>2617.9</x:v>
      </x:c>
      <x:c r="H45" s="8">
        <x:v>261.79</x:v>
      </x:c>
      <x:c r="I45" s="0" t="s">
        <x:v>23</x:v>
      </x:c>
      <x:c r="K45" s="8">
        <x:v>261.79</x:v>
      </x:c>
      <x:c r="L45" s="0" t="s">
        <x:v>24</x:v>
      </x:c>
      <x:c r="M45" s="0" t="s">
        <x:v>25</x:v>
      </x:c>
      <x:c r="N45" s="0" t="s">
        <x:v>26</x:v>
      </x:c>
      <x:c r="P45" s="0" t="s">
        <x:v>27</x:v>
      </x:c>
    </x:row>
    <x:row r="46" spans="1:20">
      <x:c r="A46" s="0">
        <x:v>45</x:v>
      </x:c>
      <x:c r="B46" s="0" t="s">
        <x:v>59</x:v>
      </x:c>
      <x:c r="C46" s="0" t="s">
        <x:v>21</x:v>
      </x:c>
      <x:c r="D46" s="0" t="s">
        <x:v>34</x:v>
      </x:c>
      <x:c r="E46" s="0">
        <x:v>1</x:v>
      </x:c>
      <x:c r="F46" s="0">
        <x:v>0.1</x:v>
      </x:c>
      <x:c r="G46" s="8">
        <x:v>2500</x:v>
      </x:c>
      <x:c r="H46" s="8">
        <x:v>250</x:v>
      </x:c>
      <x:c r="I46" s="0" t="s">
        <x:v>23</x:v>
      </x:c>
      <x:c r="K46" s="8">
        <x:v>250</x:v>
      </x:c>
      <x:c r="L46" s="0" t="s">
        <x:v>24</x:v>
      </x:c>
      <x:c r="M46" s="0" t="s">
        <x:v>25</x:v>
      </x:c>
      <x:c r="N46" s="0" t="s">
        <x:v>26</x:v>
      </x:c>
      <x:c r="P46" s="0" t="s">
        <x:v>27</x:v>
      </x:c>
    </x:row>
    <x:row r="47" spans="1:20">
      <x:c r="A47" s="0">
        <x:v>46</x:v>
      </x:c>
      <x:c r="B47" s="0" t="s">
        <x:v>60</x:v>
      </x:c>
      <x:c r="C47" s="0" t="s">
        <x:v>21</x:v>
      </x:c>
      <x:c r="D47" s="0" t="s">
        <x:v>22</x:v>
      </x:c>
      <x:c r="E47" s="0">
        <x:v>1</x:v>
      </x:c>
      <x:c r="F47" s="0">
        <x:v>2</x:v>
      </x:c>
      <x:c r="G47" s="8">
        <x:v>145.28</x:v>
      </x:c>
      <x:c r="H47" s="8">
        <x:v>290.55</x:v>
      </x:c>
      <x:c r="I47" s="0" t="s">
        <x:v>23</x:v>
      </x:c>
      <x:c r="K47" s="8">
        <x:v>290.55</x:v>
      </x:c>
      <x:c r="L47" s="0" t="s">
        <x:v>24</x:v>
      </x:c>
      <x:c r="M47" s="0" t="s">
        <x:v>25</x:v>
      </x:c>
      <x:c r="N47" s="0" t="s">
        <x:v>26</x:v>
      </x:c>
      <x:c r="P47" s="0" t="s">
        <x:v>27</x:v>
      </x:c>
    </x:row>
    <x:row r="48" spans="1:20">
      <x:c r="A48" s="0">
        <x:v>47</x:v>
      </x:c>
      <x:c r="B48" s="0" t="s">
        <x:v>138</x:v>
      </x:c>
      <x:c r="C48" s="0" t="s">
        <x:v>21</x:v>
      </x:c>
      <x:c r="D48" s="0" t="s">
        <x:v>22</x:v>
      </x:c>
      <x:c r="E48" s="0">
        <x:v>1</x:v>
      </x:c>
      <x:c r="F48" s="0">
        <x:v>1</x:v>
      </x:c>
      <x:c r="G48" s="8">
        <x:v>213.45</x:v>
      </x:c>
      <x:c r="H48" s="8">
        <x:v>213.45</x:v>
      </x:c>
      <x:c r="I48" s="0" t="s">
        <x:v>23</x:v>
      </x:c>
      <x:c r="K48" s="8">
        <x:v>213.45</x:v>
      </x:c>
      <x:c r="L48" s="0" t="s">
        <x:v>24</x:v>
      </x:c>
      <x:c r="M48" s="0" t="s">
        <x:v>25</x:v>
      </x:c>
      <x:c r="N48" s="0" t="s">
        <x:v>26</x:v>
      </x:c>
      <x:c r="P48" s="0" t="s">
        <x:v>27</x:v>
      </x:c>
    </x:row>
    <x:row r="49" spans="1:20">
      <x:c r="H49" s="18">
        <x:f>SUM(H2:H48)</x:f>
      </x:c>
    </x:row>
    <x:row r="51" spans="1:20">
      <x:c r="B51" s="19" t="s">
        <x:v>163</x:v>
      </x:c>
      <x:c r="C51" s="20"/>
      <x:c r="D51" s="20"/>
      <x:c r="E51" s="20"/>
      <x:c r="F51" s="20"/>
      <x:c r="G51" s="20"/>
      <x:c r="H51" s="21">
        <x:f>SUM(H52:H54)</x:f>
      </x:c>
      <x:c r="I51" s="22" t="s">
        <x:v>164</x:v>
      </x:c>
    </x:row>
    <x:row r="52" spans="1:20">
      <x:c r="B52" s="21" t="s">
        <x:v>165</x:v>
      </x:c>
      <x:c r="C52" s="21"/>
      <x:c r="D52" s="21"/>
      <x:c r="E52" s="21"/>
      <x:c r="F52" s="20">
        <x:f>F2+F3+F4+F6+F7+F14+F15+F16+F17+F23+F25+F26+F34+F41+F43+F47+F48</x:f>
      </x:c>
      <x:c r="G52" s="20">
        <x:f>G2+G3+G4+G6+G7+G14+G15+G16+G17+G23+G25+G26+G34+G41+G43+G47+G48</x:f>
      </x:c>
      <x:c r="H52" s="20">
        <x:f>H2+H3+H4+H6+H7+H14+H15+H16+H17+H23+H25+H26+H34+H41+H43+H47+H48</x:f>
      </x:c>
      <x:c r="I52" s="15"/>
    </x:row>
    <x:row r="53" spans="1:20">
      <x:c r="B53" s="21" t="s">
        <x:v>166</x:v>
      </x:c>
      <x:c r="C53" s="21"/>
      <x:c r="D53" s="21"/>
      <x:c r="E53" s="21"/>
      <x:c r="F53" s="20">
        <x:f>F5+F21+F27+F33</x:f>
      </x:c>
      <x:c r="G53" s="20">
        <x:f>G5+G21+G27+G33</x:f>
      </x:c>
      <x:c r="H53" s="20">
        <x:f>H5+H21+H27+H33</x:f>
      </x:c>
      <x:c r="I53" s="15"/>
    </x:row>
    <x:row r="54" spans="1:20">
      <x:c r="B54" s="21" t="s">
        <x:v>167</x:v>
      </x:c>
      <x:c r="C54" s="21"/>
      <x:c r="D54" s="21"/>
      <x:c r="E54" s="21"/>
      <x:c r="F54" s="20">
        <x:f>F8+F32+F35</x:f>
      </x:c>
      <x:c r="G54" s="20">
        <x:f>G8+G32+G35</x:f>
      </x:c>
      <x:c r="H54" s="20">
        <x:f>H8+H32+H35</x:f>
      </x:c>
      <x:c r="I54" s="15"/>
    </x:row>
    <x:row r="55" spans="1:20">
      <x:c r="B55" s="19" t="s">
        <x:v>168</x:v>
      </x:c>
      <x:c r="C55" s="20"/>
      <x:c r="D55" s="20"/>
      <x:c r="E55" s="20"/>
      <x:c r="F55" s="20"/>
      <x:c r="G55" s="20"/>
      <x:c r="H55" s="21">
        <x:f>SUM(H56:H62)</x:f>
      </x:c>
      <x:c r="I55" s="22" t="s">
        <x:v>169</x:v>
      </x:c>
    </x:row>
    <x:row r="56" spans="1:20">
      <x:c r="B56" s="21" t="s">
        <x:v>170</x:v>
      </x:c>
      <x:c r="C56" s="21"/>
      <x:c r="D56" s="21"/>
      <x:c r="E56" s="21"/>
      <x:c r="F56" s="20">
        <x:f>F10+F11+F12+F13</x:f>
      </x:c>
      <x:c r="G56" s="20">
        <x:f>G10+G11+G12+G13</x:f>
      </x:c>
      <x:c r="H56" s="20">
        <x:f>H10+H11+H12+H13</x:f>
      </x:c>
      <x:c r="I56" s="15"/>
    </x:row>
    <x:row r="57" spans="1:20">
      <x:c r="B57" s="21" t="s">
        <x:v>171</x:v>
      </x:c>
      <x:c r="C57" s="21"/>
      <x:c r="D57" s="21"/>
      <x:c r="E57" s="21"/>
      <x:c r="F57" s="20"/>
      <x:c r="G57" s="20"/>
      <x:c r="H57" s="20"/>
      <x:c r="I57" s="15"/>
    </x:row>
    <x:row r="58" spans="1:20">
      <x:c r="B58" s="21" t="s">
        <x:v>172</x:v>
      </x:c>
      <x:c r="C58" s="21"/>
      <x:c r="D58" s="21"/>
      <x:c r="E58" s="21"/>
      <x:c r="F58" s="20"/>
      <x:c r="G58" s="20"/>
      <x:c r="H58" s="20"/>
      <x:c r="I58" s="15"/>
    </x:row>
    <x:row r="59" spans="1:20">
      <x:c r="B59" s="21" t="s">
        <x:v>173</x:v>
      </x:c>
      <x:c r="C59" s="21"/>
      <x:c r="D59" s="21"/>
      <x:c r="E59" s="21"/>
      <x:c r="F59" s="20">
        <x:f>F9+F19+F24+F28+F29+F31+F36+F39+F44+F45+F46</x:f>
      </x:c>
      <x:c r="G59" s="20">
        <x:f>G9+G19+G24+G28+G29+G31+G36+G39+G44+G45+G46</x:f>
      </x:c>
      <x:c r="H59" s="20">
        <x:f>H9+H19+H24+H28+H29+H31+H36+H39+H44+H45+H46</x:f>
      </x:c>
      <x:c r="I59" s="15"/>
    </x:row>
    <x:row r="60" spans="1:20">
      <x:c r="B60" s="21" t="s">
        <x:v>174</x:v>
      </x:c>
      <x:c r="C60" s="21"/>
      <x:c r="D60" s="21"/>
      <x:c r="E60" s="21"/>
      <x:c r="F60" s="20">
        <x:f>F42</x:f>
      </x:c>
      <x:c r="G60" s="20">
        <x:f>G42</x:f>
      </x:c>
      <x:c r="H60" s="20">
        <x:f>H42</x:f>
      </x:c>
      <x:c r="I60" s="15"/>
    </x:row>
    <x:row r="61" spans="1:20">
      <x:c r="B61" s="21" t="s">
        <x:v>70</x:v>
      </x:c>
      <x:c r="C61" s="21"/>
      <x:c r="D61" s="21"/>
      <x:c r="E61" s="21"/>
      <x:c r="F61" s="20"/>
      <x:c r="G61" s="20"/>
      <x:c r="H61" s="20"/>
      <x:c r="I61" s="15"/>
    </x:row>
    <x:row r="62" spans="1:20">
      <x:c r="B62" s="21" t="s">
        <x:v>175</x:v>
      </x:c>
      <x:c r="C62" s="21"/>
      <x:c r="D62" s="21"/>
      <x:c r="E62" s="21"/>
      <x:c r="F62" s="20"/>
      <x:c r="G62" s="20"/>
      <x:c r="H62" s="20"/>
      <x:c r="I62" s="15"/>
    </x:row>
    <x:row r="63" spans="1:20">
      <x:c r="B63" s="19" t="s">
        <x:v>176</x:v>
      </x:c>
      <x:c r="C63" s="20"/>
      <x:c r="D63" s="20"/>
      <x:c r="E63" s="20"/>
      <x:c r="F63" s="20"/>
      <x:c r="G63" s="20"/>
      <x:c r="H63" s="21">
        <x:f>SUM(H64:H69)</x:f>
      </x:c>
      <x:c r="I63" s="22" t="s">
        <x:v>177</x:v>
      </x:c>
    </x:row>
    <x:row r="64" spans="1:20">
      <x:c r="B64" s="21" t="s">
        <x:v>178</x:v>
      </x:c>
      <x:c r="C64" s="21"/>
      <x:c r="D64" s="21"/>
      <x:c r="E64" s="21"/>
      <x:c r="F64" s="20"/>
      <x:c r="G64" s="20"/>
      <x:c r="H64" s="20"/>
      <x:c r="I64" s="15"/>
    </x:row>
    <x:row r="65" spans="1:20">
      <x:c r="B65" s="21" t="s">
        <x:v>179</x:v>
      </x:c>
      <x:c r="C65" s="21"/>
      <x:c r="D65" s="21"/>
      <x:c r="E65" s="21"/>
      <x:c r="F65" s="20">
        <x:f>F38</x:f>
      </x:c>
      <x:c r="G65" s="20">
        <x:f>G38</x:f>
      </x:c>
      <x:c r="H65" s="20">
        <x:f>H38</x:f>
      </x:c>
      <x:c r="I65" s="15"/>
    </x:row>
    <x:row r="66" spans="1:20">
      <x:c r="B66" s="21" t="s">
        <x:v>54</x:v>
      </x:c>
      <x:c r="C66" s="21"/>
      <x:c r="D66" s="21"/>
      <x:c r="E66" s="21"/>
      <x:c r="F66" s="20">
        <x:f>F37</x:f>
      </x:c>
      <x:c r="G66" s="20">
        <x:f>G37</x:f>
      </x:c>
      <x:c r="H66" s="20">
        <x:f>H37</x:f>
      </x:c>
      <x:c r="I66" s="15"/>
    </x:row>
    <x:row r="67" spans="1:20">
      <x:c r="B67" s="21" t="s">
        <x:v>180</x:v>
      </x:c>
      <x:c r="C67" s="21"/>
      <x:c r="D67" s="21"/>
      <x:c r="E67" s="21"/>
      <x:c r="F67" s="20">
        <x:f>F18</x:f>
      </x:c>
      <x:c r="G67" s="20">
        <x:f>G18</x:f>
      </x:c>
      <x:c r="H67" s="20">
        <x:f>H18</x:f>
      </x:c>
      <x:c r="I67" s="15"/>
    </x:row>
    <x:row r="68" spans="1:20">
      <x:c r="B68" s="21" t="s">
        <x:v>181</x:v>
      </x:c>
      <x:c r="C68" s="21"/>
      <x:c r="D68" s="21"/>
      <x:c r="E68" s="21"/>
      <x:c r="F68" s="20">
        <x:f>F22+F30+F40</x:f>
      </x:c>
      <x:c r="G68" s="20">
        <x:f>G22+G30+G40</x:f>
      </x:c>
      <x:c r="H68" s="20">
        <x:f>H22+H30+H40</x:f>
      </x:c>
      <x:c r="I68" s="15"/>
    </x:row>
    <x:row r="69" spans="1:20">
      <x:c r="B69" s="21" t="s">
        <x:v>182</x:v>
      </x:c>
      <x:c r="C69" s="21"/>
      <x:c r="D69" s="21"/>
      <x:c r="E69" s="21"/>
      <x:c r="F69" s="20">
        <x:f>F20</x:f>
      </x:c>
      <x:c r="G69" s="20">
        <x:f>G20</x:f>
      </x:c>
      <x:c r="H69" s="20">
        <x:f>H20</x:f>
      </x:c>
      <x:c r="I69" s="15"/>
    </x:row>
    <x:row r="70" spans="1:20">
      <x:c r="B70" s="19" t="s">
        <x:v>183</x:v>
      </x:c>
      <x:c r="C70" s="20"/>
      <x:c r="D70" s="20"/>
      <x:c r="E70" s="20"/>
      <x:c r="F70" s="20"/>
      <x:c r="G70" s="20"/>
      <x:c r="H70" s="21">
        <x:f>SUM(H71:H72)</x:f>
      </x:c>
      <x:c r="I70" s="22"/>
    </x:row>
    <x:row r="71" spans="1:20">
      <x:c r="B71" s="21" t="s">
        <x:v>184</x:v>
      </x:c>
      <x:c r="C71" s="21"/>
      <x:c r="D71" s="21"/>
      <x:c r="E71" s="21"/>
      <x:c r="F71" s="20"/>
      <x:c r="G71" s="20"/>
      <x:c r="H71" s="20"/>
      <x:c r="I71" s="15"/>
    </x:row>
    <x:row r="72" spans="1:20">
      <x:c r="B72" s="21" t="s">
        <x:v>185</x:v>
      </x:c>
      <x:c r="C72" s="21"/>
      <x:c r="D72" s="21"/>
      <x:c r="E72" s="21"/>
      <x:c r="F72" s="20"/>
      <x:c r="G72" s="20"/>
      <x:c r="H72" s="20"/>
      <x:c r="I72" s="15"/>
    </x:row>
    <x:row r="73" spans="1:20">
      <x:c r="B73" s="22"/>
      <x:c r="C73" s="22"/>
      <x:c r="D73" s="22"/>
      <x:c r="E73" s="22"/>
      <x:c r="F73" s="15"/>
      <x:c r="G73" s="15"/>
      <x:c r="H73" s="22">
        <x:f>H51+H55+H63+H70</x:f>
      </x:c>
      <x:c r="I73" s="15"/>
    </x:row>
    <x:row r="74" spans="1:20">
      <x:c r="H74" s="17">
        <x:f>H73 - H49</x:f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3B0211A-C1CA-454A-A3D0-F6FB25C0D468}" mc:Ignorable="x14ac xr xr2 xr3">
  <x:sheetPr>
    <x:outlinePr summaryBelow="1" summaryRight="1"/>
  </x:sheetPr>
  <x:dimension ref="A1:T37"/>
  <x:sheetViews>
    <x:sheetView topLeftCell="A21" workbookViewId="0"/>
  </x:sheetViews>
  <x:sheetFormatPr defaultColWidth="11.085625" defaultRowHeight="15.75"/>
  <x:sheetData>
    <x:row r="1" spans="1:2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</x:row>
    <x:row r="2" spans="1:20">
      <x:c r="A2" s="0">
        <x:v>1</x:v>
      </x:c>
      <x:c r="B2" s="0" t="s">
        <x:v>91</x:v>
      </x:c>
      <x:c r="C2" s="0" t="s">
        <x:v>21</x:v>
      </x:c>
      <x:c r="D2" s="0" t="s">
        <x:v>22</x:v>
      </x:c>
      <x:c r="E2" s="0">
        <x:v>1</x:v>
      </x:c>
      <x:c r="F2" s="0">
        <x:v>1</x:v>
      </x:c>
      <x:c r="G2" s="8">
        <x:v>350</x:v>
      </x:c>
      <x:c r="H2" s="8">
        <x:v>350</x:v>
      </x:c>
      <x:c r="I2" s="0" t="s">
        <x:v>23</x:v>
      </x:c>
      <x:c r="K2" s="8">
        <x:v>350</x:v>
      </x:c>
      <x:c r="L2" s="0" t="s">
        <x:v>24</x:v>
      </x:c>
      <x:c r="M2" s="0" t="s">
        <x:v>25</x:v>
      </x:c>
      <x:c r="N2" s="0" t="s">
        <x:v>26</x:v>
      </x:c>
      <x:c r="P2" s="0" t="s">
        <x:v>27</x:v>
      </x:c>
    </x:row>
    <x:row r="3" spans="1:20">
      <x:c r="A3" s="0">
        <x:v>2</x:v>
      </x:c>
      <x:c r="B3" s="0" t="s">
        <x:v>61</x:v>
      </x:c>
      <x:c r="C3" s="0" t="s">
        <x:v>21</x:v>
      </x:c>
      <x:c r="D3" s="0" t="s">
        <x:v>22</x:v>
      </x:c>
      <x:c r="E3" s="0">
        <x:v>1</x:v>
      </x:c>
      <x:c r="F3" s="0">
        <x:v>1</x:v>
      </x:c>
      <x:c r="G3" s="8">
        <x:v>250</x:v>
      </x:c>
      <x:c r="H3" s="8">
        <x:v>250</x:v>
      </x:c>
      <x:c r="I3" s="0" t="s">
        <x:v>23</x:v>
      </x:c>
      <x:c r="K3" s="8">
        <x:v>250</x:v>
      </x:c>
      <x:c r="L3" s="0" t="s">
        <x:v>24</x:v>
      </x:c>
      <x:c r="M3" s="0" t="s">
        <x:v>25</x:v>
      </x:c>
      <x:c r="N3" s="0" t="s">
        <x:v>26</x:v>
      </x:c>
      <x:c r="P3" s="0" t="s">
        <x:v>27</x:v>
      </x:c>
    </x:row>
    <x:row r="4" spans="1:20">
      <x:c r="A4" s="0">
        <x:v>3</x:v>
      </x:c>
      <x:c r="B4" s="0" t="s">
        <x:v>20</x:v>
      </x:c>
      <x:c r="C4" s="0" t="s">
        <x:v>21</x:v>
      </x:c>
      <x:c r="D4" s="0" t="s">
        <x:v>22</x:v>
      </x:c>
      <x:c r="E4" s="0">
        <x:v>1</x:v>
      </x:c>
      <x:c r="F4" s="0">
        <x:v>4</x:v>
      </x:c>
      <x:c r="G4" s="8">
        <x:v>150</x:v>
      </x:c>
      <x:c r="H4" s="8">
        <x:v>600</x:v>
      </x:c>
      <x:c r="I4" s="0" t="s">
        <x:v>23</x:v>
      </x:c>
      <x:c r="K4" s="8">
        <x:v>600</x:v>
      </x:c>
      <x:c r="L4" s="0" t="s">
        <x:v>24</x:v>
      </x:c>
      <x:c r="M4" s="0" t="s">
        <x:v>25</x:v>
      </x:c>
      <x:c r="N4" s="0" t="s">
        <x:v>26</x:v>
      </x:c>
      <x:c r="P4" s="0" t="s">
        <x:v>27</x:v>
      </x:c>
    </x:row>
    <x:row r="5" spans="1:20">
      <x:c r="A5" s="0">
        <x:v>4</x:v>
      </x:c>
      <x:c r="B5" s="0" t="s">
        <x:v>157</x:v>
      </x:c>
      <x:c r="C5" s="0" t="s">
        <x:v>21</x:v>
      </x:c>
      <x:c r="D5" s="0" t="s">
        <x:v>22</x:v>
      </x:c>
      <x:c r="E5" s="0">
        <x:v>1</x:v>
      </x:c>
      <x:c r="F5" s="0">
        <x:v>1</x:v>
      </x:c>
      <x:c r="G5" s="8">
        <x:v>200</x:v>
      </x:c>
      <x:c r="H5" s="8">
        <x:v>200</x:v>
      </x:c>
      <x:c r="I5" s="0" t="s">
        <x:v>23</x:v>
      </x:c>
      <x:c r="K5" s="8">
        <x:v>200</x:v>
      </x:c>
      <x:c r="L5" s="0" t="s">
        <x:v>24</x:v>
      </x:c>
      <x:c r="M5" s="0" t="s">
        <x:v>25</x:v>
      </x:c>
      <x:c r="N5" s="0" t="s">
        <x:v>26</x:v>
      </x:c>
      <x:c r="P5" s="0" t="s">
        <x:v>27</x:v>
      </x:c>
    </x:row>
    <x:row r="6" spans="1:20">
      <x:c r="A6" s="0">
        <x:v>5</x:v>
      </x:c>
      <x:c r="B6" s="0" t="s">
        <x:v>74</x:v>
      </x:c>
      <x:c r="C6" s="0" t="s">
        <x:v>21</x:v>
      </x:c>
      <x:c r="D6" s="0" t="s">
        <x:v>22</x:v>
      </x:c>
      <x:c r="E6" s="0">
        <x:v>1</x:v>
      </x:c>
      <x:c r="F6" s="0">
        <x:v>1</x:v>
      </x:c>
      <x:c r="G6" s="8">
        <x:v>182.27</x:v>
      </x:c>
      <x:c r="H6" s="8">
        <x:v>182.27</x:v>
      </x:c>
      <x:c r="I6" s="0" t="s">
        <x:v>23</x:v>
      </x:c>
      <x:c r="K6" s="8">
        <x:v>182.27</x:v>
      </x:c>
      <x:c r="L6" s="0" t="s">
        <x:v>24</x:v>
      </x:c>
      <x:c r="M6" s="0" t="s">
        <x:v>25</x:v>
      </x:c>
      <x:c r="N6" s="0" t="s">
        <x:v>26</x:v>
      </x:c>
      <x:c r="P6" s="0" t="s">
        <x:v>27</x:v>
      </x:c>
    </x:row>
    <x:row r="7" spans="1:20">
      <x:c r="A7" s="0">
        <x:v>6</x:v>
      </x:c>
      <x:c r="B7" s="0" t="s">
        <x:v>147</x:v>
      </x:c>
      <x:c r="C7" s="0" t="s">
        <x:v>21</x:v>
      </x:c>
      <x:c r="D7" s="0" t="s">
        <x:v>34</x:v>
      </x:c>
      <x:c r="E7" s="0">
        <x:v>1</x:v>
      </x:c>
      <x:c r="F7" s="0">
        <x:v>0.1</x:v>
      </x:c>
      <x:c r="G7" s="8">
        <x:v>2400</x:v>
      </x:c>
      <x:c r="H7" s="8">
        <x:v>240</x:v>
      </x:c>
      <x:c r="I7" s="0" t="s">
        <x:v>23</x:v>
      </x:c>
      <x:c r="K7" s="8">
        <x:v>240</x:v>
      </x:c>
      <x:c r="L7" s="0" t="s">
        <x:v>24</x:v>
      </x:c>
      <x:c r="M7" s="0" t="s">
        <x:v>25</x:v>
      </x:c>
      <x:c r="N7" s="0" t="s">
        <x:v>26</x:v>
      </x:c>
      <x:c r="P7" s="0" t="s">
        <x:v>27</x:v>
      </x:c>
    </x:row>
    <x:row r="8" spans="1:20">
      <x:c r="A8" s="0">
        <x:v>7</x:v>
      </x:c>
      <x:c r="B8" s="0" t="s">
        <x:v>29</x:v>
      </x:c>
      <x:c r="C8" s="0" t="s">
        <x:v>21</x:v>
      </x:c>
      <x:c r="D8" s="0" t="s">
        <x:v>22</x:v>
      </x:c>
      <x:c r="E8" s="0">
        <x:v>1</x:v>
      </x:c>
      <x:c r="F8" s="0">
        <x:v>4</x:v>
      </x:c>
      <x:c r="G8" s="8">
        <x:v>231.25</x:v>
      </x:c>
      <x:c r="H8" s="8">
        <x:v>925</x:v>
      </x:c>
      <x:c r="I8" s="0" t="s">
        <x:v>23</x:v>
      </x:c>
      <x:c r="K8" s="8">
        <x:v>925</x:v>
      </x:c>
      <x:c r="L8" s="0" t="s">
        <x:v>24</x:v>
      </x:c>
      <x:c r="M8" s="0" t="s">
        <x:v>25</x:v>
      </x:c>
      <x:c r="N8" s="0" t="s">
        <x:v>26</x:v>
      </x:c>
      <x:c r="P8" s="0" t="s">
        <x:v>27</x:v>
      </x:c>
    </x:row>
    <x:row r="9" spans="1:20">
      <x:c r="A9" s="0">
        <x:v>8</x:v>
      </x:c>
      <x:c r="B9" s="0" t="s">
        <x:v>30</x:v>
      </x:c>
      <x:c r="C9" s="0" t="s">
        <x:v>21</x:v>
      </x:c>
      <x:c r="D9" s="0" t="s">
        <x:v>22</x:v>
      </x:c>
      <x:c r="E9" s="0">
        <x:v>1</x:v>
      </x:c>
      <x:c r="F9" s="0">
        <x:v>6</x:v>
      </x:c>
      <x:c r="G9" s="8">
        <x:v>299.52</x:v>
      </x:c>
      <x:c r="H9" s="8">
        <x:v>1797.13</x:v>
      </x:c>
      <x:c r="I9" s="0" t="s">
        <x:v>23</x:v>
      </x:c>
      <x:c r="K9" s="8">
        <x:v>1797.13</x:v>
      </x:c>
      <x:c r="L9" s="0" t="s">
        <x:v>24</x:v>
      </x:c>
      <x:c r="M9" s="0" t="s">
        <x:v>25</x:v>
      </x:c>
      <x:c r="N9" s="0" t="s">
        <x:v>26</x:v>
      </x:c>
      <x:c r="P9" s="0" t="s">
        <x:v>27</x:v>
      </x:c>
    </x:row>
    <x:row r="10" spans="1:20">
      <x:c r="A10" s="0">
        <x:v>9</x:v>
      </x:c>
      <x:c r="B10" s="0" t="s">
        <x:v>31</x:v>
      </x:c>
      <x:c r="C10" s="0" t="s">
        <x:v>21</x:v>
      </x:c>
      <x:c r="D10" s="0" t="s">
        <x:v>22</x:v>
      </x:c>
      <x:c r="E10" s="0">
        <x:v>1</x:v>
      </x:c>
      <x:c r="F10" s="0">
        <x:v>1</x:v>
      </x:c>
      <x:c r="G10" s="8">
        <x:v>90</x:v>
      </x:c>
      <x:c r="H10" s="8">
        <x:v>90</x:v>
      </x:c>
      <x:c r="I10" s="0" t="s">
        <x:v>23</x:v>
      </x:c>
      <x:c r="K10" s="8">
        <x:v>90</x:v>
      </x:c>
      <x:c r="L10" s="0" t="s">
        <x:v>24</x:v>
      </x:c>
      <x:c r="M10" s="0" t="s">
        <x:v>25</x:v>
      </x:c>
      <x:c r="N10" s="0" t="s">
        <x:v>26</x:v>
      </x:c>
      <x:c r="P10" s="0" t="s">
        <x:v>27</x:v>
      </x:c>
    </x:row>
    <x:row r="11" spans="1:20">
      <x:c r="A11" s="0">
        <x:v>10</x:v>
      </x:c>
      <x:c r="B11" s="0" t="s">
        <x:v>62</x:v>
      </x:c>
      <x:c r="C11" s="0" t="s">
        <x:v>21</x:v>
      </x:c>
      <x:c r="D11" s="0" t="s">
        <x:v>34</x:v>
      </x:c>
      <x:c r="E11" s="0">
        <x:v>1</x:v>
      </x:c>
      <x:c r="F11" s="0">
        <x:v>0.3</x:v>
      </x:c>
      <x:c r="G11" s="8">
        <x:v>3084.6</x:v>
      </x:c>
      <x:c r="H11" s="8">
        <x:v>925.38</x:v>
      </x:c>
      <x:c r="I11" s="0" t="s">
        <x:v>23</x:v>
      </x:c>
      <x:c r="K11" s="8">
        <x:v>925.38</x:v>
      </x:c>
      <x:c r="L11" s="0" t="s">
        <x:v>24</x:v>
      </x:c>
      <x:c r="M11" s="0" t="s">
        <x:v>25</x:v>
      </x:c>
      <x:c r="N11" s="0" t="s">
        <x:v>26</x:v>
      </x:c>
      <x:c r="P11" s="0" t="s">
        <x:v>27</x:v>
      </x:c>
    </x:row>
    <x:row r="12" spans="1:20">
      <x:c r="A12" s="0">
        <x:v>11</x:v>
      </x:c>
      <x:c r="B12" s="0" t="s">
        <x:v>134</x:v>
      </x:c>
      <x:c r="C12" s="0" t="s">
        <x:v>21</x:v>
      </x:c>
      <x:c r="D12" s="0" t="s">
        <x:v>34</x:v>
      </x:c>
      <x:c r="E12" s="0">
        <x:v>1</x:v>
      </x:c>
      <x:c r="F12" s="0">
        <x:v>0.1</x:v>
      </x:c>
      <x:c r="G12" s="8">
        <x:v>3480</x:v>
      </x:c>
      <x:c r="H12" s="8">
        <x:v>348</x:v>
      </x:c>
      <x:c r="I12" s="0" t="s">
        <x:v>23</x:v>
      </x:c>
      <x:c r="K12" s="8">
        <x:v>348</x:v>
      </x:c>
      <x:c r="L12" s="0" t="s">
        <x:v>24</x:v>
      </x:c>
      <x:c r="M12" s="0" t="s">
        <x:v>25</x:v>
      </x:c>
      <x:c r="N12" s="0" t="s">
        <x:v>26</x:v>
      </x:c>
      <x:c r="P12" s="0" t="s">
        <x:v>27</x:v>
      </x:c>
    </x:row>
    <x:row r="13" spans="1:20">
      <x:c r="A13" s="0">
        <x:v>12</x:v>
      </x:c>
      <x:c r="B13" s="0" t="s">
        <x:v>79</x:v>
      </x:c>
      <x:c r="C13" s="0" t="s">
        <x:v>21</x:v>
      </x:c>
      <x:c r="D13" s="0" t="s">
        <x:v>34</x:v>
      </x:c>
      <x:c r="E13" s="0">
        <x:v>1</x:v>
      </x:c>
      <x:c r="F13" s="0">
        <x:v>0.123</x:v>
      </x:c>
      <x:c r="G13" s="8">
        <x:v>2180</x:v>
      </x:c>
      <x:c r="H13" s="8">
        <x:v>268.14</x:v>
      </x:c>
      <x:c r="I13" s="0" t="s">
        <x:v>23</x:v>
      </x:c>
      <x:c r="K13" s="8">
        <x:v>268.14</x:v>
      </x:c>
      <x:c r="L13" s="0" t="s">
        <x:v>24</x:v>
      </x:c>
      <x:c r="M13" s="0" t="s">
        <x:v>25</x:v>
      </x:c>
      <x:c r="N13" s="0" t="s">
        <x:v>26</x:v>
      </x:c>
      <x:c r="P13" s="0" t="s">
        <x:v>27</x:v>
      </x:c>
    </x:row>
    <x:row r="14" spans="1:20">
      <x:c r="A14" s="0">
        <x:v>13</x:v>
      </x:c>
      <x:c r="B14" s="0" t="s">
        <x:v>93</x:v>
      </x:c>
      <x:c r="C14" s="0" t="s">
        <x:v>21</x:v>
      </x:c>
      <x:c r="D14" s="0" t="s">
        <x:v>34</x:v>
      </x:c>
      <x:c r="E14" s="0">
        <x:v>1</x:v>
      </x:c>
      <x:c r="F14" s="0">
        <x:v>0.1</x:v>
      </x:c>
      <x:c r="G14" s="8">
        <x:v>3480</x:v>
      </x:c>
      <x:c r="H14" s="8">
        <x:v>348</x:v>
      </x:c>
      <x:c r="I14" s="0" t="s">
        <x:v>23</x:v>
      </x:c>
      <x:c r="K14" s="8">
        <x:v>348</x:v>
      </x:c>
      <x:c r="L14" s="0" t="s">
        <x:v>24</x:v>
      </x:c>
      <x:c r="M14" s="0" t="s">
        <x:v>25</x:v>
      </x:c>
      <x:c r="N14" s="0" t="s">
        <x:v>26</x:v>
      </x:c>
      <x:c r="P14" s="0" t="s">
        <x:v>27</x:v>
      </x:c>
    </x:row>
    <x:row r="15" spans="1:20">
      <x:c r="A15" s="0">
        <x:v>14</x:v>
      </x:c>
      <x:c r="B15" s="0" t="s">
        <x:v>70</x:v>
      </x:c>
      <x:c r="C15" s="0" t="s">
        <x:v>21</x:v>
      </x:c>
      <x:c r="D15" s="0" t="s">
        <x:v>22</x:v>
      </x:c>
      <x:c r="E15" s="0">
        <x:v>1</x:v>
      </x:c>
      <x:c r="F15" s="0">
        <x:v>2</x:v>
      </x:c>
      <x:c r="G15" s="8">
        <x:v>250</x:v>
      </x:c>
      <x:c r="H15" s="8">
        <x:v>500</x:v>
      </x:c>
      <x:c r="I15" s="0" t="s">
        <x:v>23</x:v>
      </x:c>
      <x:c r="K15" s="8">
        <x:v>500</x:v>
      </x:c>
      <x:c r="L15" s="0" t="s">
        <x:v>24</x:v>
      </x:c>
      <x:c r="M15" s="0" t="s">
        <x:v>25</x:v>
      </x:c>
      <x:c r="N15" s="0" t="s">
        <x:v>26</x:v>
      </x:c>
      <x:c r="P15" s="0" t="s">
        <x:v>27</x:v>
      </x:c>
    </x:row>
    <x:row r="16" spans="1:20">
      <x:c r="A16" s="0">
        <x:v>15</x:v>
      </x:c>
      <x:c r="B16" s="0" t="s">
        <x:v>37</x:v>
      </x:c>
      <x:c r="C16" s="0" t="s">
        <x:v>21</x:v>
      </x:c>
      <x:c r="D16" s="0" t="s">
        <x:v>22</x:v>
      </x:c>
      <x:c r="E16" s="0">
        <x:v>1</x:v>
      </x:c>
      <x:c r="F16" s="0">
        <x:v>1</x:v>
      </x:c>
      <x:c r="G16" s="8">
        <x:v>339.5</x:v>
      </x:c>
      <x:c r="H16" s="8">
        <x:v>339.5</x:v>
      </x:c>
      <x:c r="I16" s="0" t="s">
        <x:v>23</x:v>
      </x:c>
      <x:c r="K16" s="8">
        <x:v>339.5</x:v>
      </x:c>
      <x:c r="L16" s="0" t="s">
        <x:v>24</x:v>
      </x:c>
      <x:c r="M16" s="0" t="s">
        <x:v>25</x:v>
      </x:c>
      <x:c r="N16" s="0" t="s">
        <x:v>26</x:v>
      </x:c>
      <x:c r="P16" s="0" t="s">
        <x:v>27</x:v>
      </x:c>
    </x:row>
    <x:row r="17" spans="1:20">
      <x:c r="A17" s="0">
        <x:v>16</x:v>
      </x:c>
      <x:c r="B17" s="0" t="s">
        <x:v>126</x:v>
      </x:c>
      <x:c r="C17" s="0" t="s">
        <x:v>21</x:v>
      </x:c>
      <x:c r="D17" s="0" t="s">
        <x:v>22</x:v>
      </x:c>
      <x:c r="E17" s="0">
        <x:v>1</x:v>
      </x:c>
      <x:c r="F17" s="0">
        <x:v>2</x:v>
      </x:c>
      <x:c r="G17" s="8">
        <x:v>180</x:v>
      </x:c>
      <x:c r="H17" s="8">
        <x:v>360</x:v>
      </x:c>
      <x:c r="I17" s="0" t="s">
        <x:v>23</x:v>
      </x:c>
      <x:c r="K17" s="8">
        <x:v>360</x:v>
      </x:c>
      <x:c r="L17" s="0" t="s">
        <x:v>24</x:v>
      </x:c>
      <x:c r="M17" s="0" t="s">
        <x:v>25</x:v>
      </x:c>
      <x:c r="N17" s="0" t="s">
        <x:v>26</x:v>
      </x:c>
      <x:c r="P17" s="0" t="s">
        <x:v>27</x:v>
      </x:c>
    </x:row>
    <x:row r="18" spans="1:20">
      <x:c r="A18" s="0">
        <x:v>17</x:v>
      </x:c>
      <x:c r="B18" s="0" t="s">
        <x:v>103</x:v>
      </x:c>
      <x:c r="C18" s="0" t="s">
        <x:v>21</x:v>
      </x:c>
      <x:c r="D18" s="0" t="s">
        <x:v>22</x:v>
      </x:c>
      <x:c r="E18" s="0">
        <x:v>1</x:v>
      </x:c>
      <x:c r="F18" s="0">
        <x:v>10</x:v>
      </x:c>
      <x:c r="G18" s="8">
        <x:v>407.4</x:v>
      </x:c>
      <x:c r="H18" s="8">
        <x:v>4074</x:v>
      </x:c>
      <x:c r="I18" s="0" t="s">
        <x:v>23</x:v>
      </x:c>
      <x:c r="K18" s="8">
        <x:v>4074</x:v>
      </x:c>
      <x:c r="L18" s="0" t="s">
        <x:v>24</x:v>
      </x:c>
      <x:c r="M18" s="0" t="s">
        <x:v>25</x:v>
      </x:c>
      <x:c r="N18" s="0" t="s">
        <x:v>26</x:v>
      </x:c>
      <x:c r="P18" s="0" t="s">
        <x:v>27</x:v>
      </x:c>
    </x:row>
    <x:row r="19" spans="1:20">
      <x:c r="A19" s="0">
        <x:v>18</x:v>
      </x:c>
      <x:c r="B19" s="0" t="s">
        <x:v>39</x:v>
      </x:c>
      <x:c r="C19" s="0" t="s">
        <x:v>21</x:v>
      </x:c>
      <x:c r="D19" s="0" t="s">
        <x:v>22</x:v>
      </x:c>
      <x:c r="E19" s="0">
        <x:v>1</x:v>
      </x:c>
      <x:c r="F19" s="0">
        <x:v>6</x:v>
      </x:c>
      <x:c r="G19" s="8">
        <x:v>247.5</x:v>
      </x:c>
      <x:c r="H19" s="8">
        <x:v>1485</x:v>
      </x:c>
      <x:c r="I19" s="0" t="s">
        <x:v>23</x:v>
      </x:c>
      <x:c r="K19" s="8">
        <x:v>1485</x:v>
      </x:c>
      <x:c r="L19" s="0" t="s">
        <x:v>24</x:v>
      </x:c>
      <x:c r="M19" s="0" t="s">
        <x:v>25</x:v>
      </x:c>
      <x:c r="N19" s="0" t="s">
        <x:v>26</x:v>
      </x:c>
      <x:c r="P19" s="0" t="s">
        <x:v>27</x:v>
      </x:c>
    </x:row>
    <x:row r="20" spans="1:20">
      <x:c r="A20" s="0">
        <x:v>19</x:v>
      </x:c>
      <x:c r="B20" s="0" t="s">
        <x:v>42</x:v>
      </x:c>
      <x:c r="C20" s="0" t="s">
        <x:v>21</x:v>
      </x:c>
      <x:c r="D20" s="0" t="s">
        <x:v>22</x:v>
      </x:c>
      <x:c r="E20" s="0">
        <x:v>1</x:v>
      </x:c>
      <x:c r="F20" s="0">
        <x:v>1</x:v>
      </x:c>
      <x:c r="G20" s="8">
        <x:v>220</x:v>
      </x:c>
      <x:c r="H20" s="8">
        <x:v>220</x:v>
      </x:c>
      <x:c r="I20" s="0" t="s">
        <x:v>23</x:v>
      </x:c>
      <x:c r="K20" s="8">
        <x:v>220</x:v>
      </x:c>
      <x:c r="L20" s="0" t="s">
        <x:v>24</x:v>
      </x:c>
      <x:c r="M20" s="0" t="s">
        <x:v>25</x:v>
      </x:c>
      <x:c r="N20" s="0" t="s">
        <x:v>26</x:v>
      </x:c>
      <x:c r="P20" s="0" t="s">
        <x:v>27</x:v>
      </x:c>
    </x:row>
    <x:row r="21" spans="1:20">
      <x:c r="A21" s="0">
        <x:v>20</x:v>
      </x:c>
      <x:c r="B21" s="0" t="s">
        <x:v>127</x:v>
      </x:c>
      <x:c r="C21" s="0" t="s">
        <x:v>21</x:v>
      </x:c>
      <x:c r="D21" s="0" t="s">
        <x:v>22</x:v>
      </x:c>
      <x:c r="E21" s="0">
        <x:v>1</x:v>
      </x:c>
      <x:c r="F21" s="0">
        <x:v>1</x:v>
      </x:c>
      <x:c r="G21" s="8">
        <x:v>187</x:v>
      </x:c>
      <x:c r="H21" s="8">
        <x:v>187</x:v>
      </x:c>
      <x:c r="I21" s="0" t="s">
        <x:v>23</x:v>
      </x:c>
      <x:c r="K21" s="8">
        <x:v>187</x:v>
      </x:c>
      <x:c r="L21" s="0" t="s">
        <x:v>24</x:v>
      </x:c>
      <x:c r="M21" s="0" t="s">
        <x:v>25</x:v>
      </x:c>
      <x:c r="N21" s="0" t="s">
        <x:v>26</x:v>
      </x:c>
      <x:c r="P21" s="0" t="s">
        <x:v>27</x:v>
      </x:c>
    </x:row>
    <x:row r="22" spans="1:20">
      <x:c r="A22" s="0">
        <x:v>21</x:v>
      </x:c>
      <x:c r="B22" s="0" t="s">
        <x:v>44</x:v>
      </x:c>
      <x:c r="C22" s="0" t="s">
        <x:v>21</x:v>
      </x:c>
      <x:c r="D22" s="0" t="s">
        <x:v>22</x:v>
      </x:c>
      <x:c r="E22" s="0">
        <x:v>1</x:v>
      </x:c>
      <x:c r="F22" s="0">
        <x:v>3</x:v>
      </x:c>
      <x:c r="G22" s="8">
        <x:v>85</x:v>
      </x:c>
      <x:c r="H22" s="8">
        <x:v>255</x:v>
      </x:c>
      <x:c r="I22" s="0" t="s">
        <x:v>23</x:v>
      </x:c>
      <x:c r="K22" s="8">
        <x:v>255</x:v>
      </x:c>
      <x:c r="L22" s="0" t="s">
        <x:v>24</x:v>
      </x:c>
      <x:c r="M22" s="0" t="s">
        <x:v>25</x:v>
      </x:c>
      <x:c r="N22" s="0" t="s">
        <x:v>26</x:v>
      </x:c>
      <x:c r="P22" s="0" t="s">
        <x:v>27</x:v>
      </x:c>
    </x:row>
    <x:row r="23" spans="1:20">
      <x:c r="A23" s="0">
        <x:v>22</x:v>
      </x:c>
      <x:c r="B23" s="0" t="s">
        <x:v>46</x:v>
      </x:c>
      <x:c r="C23" s="0" t="s">
        <x:v>21</x:v>
      </x:c>
      <x:c r="D23" s="0" t="s">
        <x:v>22</x:v>
      </x:c>
      <x:c r="E23" s="0">
        <x:v>1</x:v>
      </x:c>
      <x:c r="F23" s="0">
        <x:v>1</x:v>
      </x:c>
      <x:c r="G23" s="8">
        <x:v>172.9</x:v>
      </x:c>
      <x:c r="H23" s="8">
        <x:v>172.9</x:v>
      </x:c>
      <x:c r="I23" s="0" t="s">
        <x:v>23</x:v>
      </x:c>
      <x:c r="K23" s="8">
        <x:v>172.9</x:v>
      </x:c>
      <x:c r="L23" s="0" t="s">
        <x:v>24</x:v>
      </x:c>
      <x:c r="M23" s="0" t="s">
        <x:v>25</x:v>
      </x:c>
      <x:c r="N23" s="0" t="s">
        <x:v>26</x:v>
      </x:c>
      <x:c r="P23" s="0" t="s">
        <x:v>27</x:v>
      </x:c>
    </x:row>
    <x:row r="24" spans="1:20">
      <x:c r="A24" s="0">
        <x:v>23</x:v>
      </x:c>
      <x:c r="B24" s="0" t="s">
        <x:v>47</x:v>
      </x:c>
      <x:c r="C24" s="0" t="s">
        <x:v>21</x:v>
      </x:c>
      <x:c r="D24" s="0" t="s">
        <x:v>22</x:v>
      </x:c>
      <x:c r="E24" s="0">
        <x:v>1</x:v>
      </x:c>
      <x:c r="F24" s="0">
        <x:v>5</x:v>
      </x:c>
      <x:c r="G24" s="8">
        <x:v>261.9</x:v>
      </x:c>
      <x:c r="H24" s="8">
        <x:v>1309.5</x:v>
      </x:c>
      <x:c r="I24" s="0" t="s">
        <x:v>23</x:v>
      </x:c>
      <x:c r="K24" s="8">
        <x:v>1309.5</x:v>
      </x:c>
      <x:c r="L24" s="0" t="s">
        <x:v>24</x:v>
      </x:c>
      <x:c r="M24" s="0" t="s">
        <x:v>25</x:v>
      </x:c>
      <x:c r="N24" s="0" t="s">
        <x:v>26</x:v>
      </x:c>
      <x:c r="P24" s="0" t="s">
        <x:v>27</x:v>
      </x:c>
    </x:row>
    <x:row r="25" spans="1:20">
      <x:c r="A25" s="0">
        <x:v>24</x:v>
      </x:c>
      <x:c r="B25" s="0" t="s">
        <x:v>71</x:v>
      </x:c>
      <x:c r="C25" s="0" t="s">
        <x:v>21</x:v>
      </x:c>
      <x:c r="D25" s="0" t="s">
        <x:v>22</x:v>
      </x:c>
      <x:c r="E25" s="0">
        <x:v>1</x:v>
      </x:c>
      <x:c r="F25" s="0">
        <x:v>2</x:v>
      </x:c>
      <x:c r="G25" s="8">
        <x:v>150</x:v>
      </x:c>
      <x:c r="H25" s="8">
        <x:v>300</x:v>
      </x:c>
      <x:c r="I25" s="0" t="s">
        <x:v>23</x:v>
      </x:c>
      <x:c r="K25" s="8">
        <x:v>300</x:v>
      </x:c>
      <x:c r="L25" s="0" t="s">
        <x:v>24</x:v>
      </x:c>
      <x:c r="M25" s="0" t="s">
        <x:v>25</x:v>
      </x:c>
      <x:c r="N25" s="0" t="s">
        <x:v>26</x:v>
      </x:c>
      <x:c r="P25" s="0" t="s">
        <x:v>27</x:v>
      </x:c>
    </x:row>
    <x:row r="26" spans="1:20">
      <x:c r="A26" s="0">
        <x:v>25</x:v>
      </x:c>
      <x:c r="B26" s="0" t="s">
        <x:v>95</x:v>
      </x:c>
      <x:c r="C26" s="0" t="s">
        <x:v>21</x:v>
      </x:c>
      <x:c r="D26" s="0" t="s">
        <x:v>22</x:v>
      </x:c>
      <x:c r="E26" s="0">
        <x:v>1</x:v>
      </x:c>
      <x:c r="F26" s="0">
        <x:v>2</x:v>
      </x:c>
      <x:c r="G26" s="8">
        <x:v>277.5</x:v>
      </x:c>
      <x:c r="H26" s="8">
        <x:v>555</x:v>
      </x:c>
      <x:c r="I26" s="0" t="s">
        <x:v>23</x:v>
      </x:c>
      <x:c r="K26" s="8">
        <x:v>555</x:v>
      </x:c>
      <x:c r="L26" s="0" t="s">
        <x:v>24</x:v>
      </x:c>
      <x:c r="M26" s="0" t="s">
        <x:v>25</x:v>
      </x:c>
      <x:c r="N26" s="0" t="s">
        <x:v>26</x:v>
      </x:c>
      <x:c r="P26" s="0" t="s">
        <x:v>27</x:v>
      </x:c>
    </x:row>
    <x:row r="27" spans="1:20">
      <x:c r="A27" s="0">
        <x:v>26</x:v>
      </x:c>
      <x:c r="B27" s="0" t="s">
        <x:v>144</x:v>
      </x:c>
      <x:c r="C27" s="0" t="s">
        <x:v>21</x:v>
      </x:c>
      <x:c r="D27" s="0" t="s">
        <x:v>22</x:v>
      </x:c>
      <x:c r="E27" s="0">
        <x:v>1</x:v>
      </x:c>
      <x:c r="F27" s="0">
        <x:v>1</x:v>
      </x:c>
      <x:c r="G27" s="8">
        <x:v>15</x:v>
      </x:c>
      <x:c r="H27" s="8">
        <x:v>15</x:v>
      </x:c>
      <x:c r="I27" s="0" t="s">
        <x:v>23</x:v>
      </x:c>
      <x:c r="K27" s="8">
        <x:v>15</x:v>
      </x:c>
      <x:c r="L27" s="0" t="s">
        <x:v>24</x:v>
      </x:c>
      <x:c r="M27" s="0" t="s">
        <x:v>25</x:v>
      </x:c>
      <x:c r="N27" s="0" t="s">
        <x:v>26</x:v>
      </x:c>
      <x:c r="P27" s="0" t="s">
        <x:v>27</x:v>
      </x:c>
    </x:row>
    <x:row r="28" spans="1:20">
      <x:c r="A28" s="0">
        <x:v>27</x:v>
      </x:c>
      <x:c r="B28" s="0" t="s">
        <x:v>50</x:v>
      </x:c>
      <x:c r="C28" s="0" t="s">
        <x:v>21</x:v>
      </x:c>
      <x:c r="D28" s="0" t="s">
        <x:v>22</x:v>
      </x:c>
      <x:c r="E28" s="0">
        <x:v>1</x:v>
      </x:c>
      <x:c r="F28" s="0">
        <x:v>4</x:v>
      </x:c>
      <x:c r="G28" s="8">
        <x:v>131.9</x:v>
      </x:c>
      <x:c r="H28" s="8">
        <x:v>527.6</x:v>
      </x:c>
      <x:c r="I28" s="0" t="s">
        <x:v>23</x:v>
      </x:c>
      <x:c r="K28" s="8">
        <x:v>527.6</x:v>
      </x:c>
      <x:c r="L28" s="0" t="s">
        <x:v>24</x:v>
      </x:c>
      <x:c r="M28" s="0" t="s">
        <x:v>25</x:v>
      </x:c>
      <x:c r="N28" s="0" t="s">
        <x:v>26</x:v>
      </x:c>
      <x:c r="P28" s="0" t="s">
        <x:v>27</x:v>
      </x:c>
    </x:row>
    <x:row r="29" spans="1:20">
      <x:c r="A29" s="0">
        <x:v>28</x:v>
      </x:c>
      <x:c r="B29" s="0" t="s">
        <x:v>51</x:v>
      </x:c>
      <x:c r="C29" s="0" t="s">
        <x:v>21</x:v>
      </x:c>
      <x:c r="D29" s="0" t="s">
        <x:v>22</x:v>
      </x:c>
      <x:c r="E29" s="0">
        <x:v>1</x:v>
      </x:c>
      <x:c r="F29" s="0">
        <x:v>6</x:v>
      </x:c>
      <x:c r="G29" s="8">
        <x:v>56.7</x:v>
      </x:c>
      <x:c r="H29" s="8">
        <x:v>340.2</x:v>
      </x:c>
      <x:c r="I29" s="0" t="s">
        <x:v>23</x:v>
      </x:c>
      <x:c r="K29" s="8">
        <x:v>340.2</x:v>
      </x:c>
      <x:c r="L29" s="0" t="s">
        <x:v>24</x:v>
      </x:c>
      <x:c r="M29" s="0" t="s">
        <x:v>25</x:v>
      </x:c>
      <x:c r="N29" s="0" t="s">
        <x:v>26</x:v>
      </x:c>
      <x:c r="P29" s="0" t="s">
        <x:v>27</x:v>
      </x:c>
    </x:row>
    <x:row r="30" spans="1:20">
      <x:c r="A30" s="0">
        <x:v>29</x:v>
      </x:c>
      <x:c r="B30" s="0" t="s">
        <x:v>52</x:v>
      </x:c>
      <x:c r="C30" s="0" t="s">
        <x:v>21</x:v>
      </x:c>
      <x:c r="D30" s="0" t="s">
        <x:v>22</x:v>
      </x:c>
      <x:c r="E30" s="0">
        <x:v>1</x:v>
      </x:c>
      <x:c r="F30" s="0">
        <x:v>2</x:v>
      </x:c>
      <x:c r="G30" s="8">
        <x:v>249.75</x:v>
      </x:c>
      <x:c r="H30" s="8">
        <x:v>499.5</x:v>
      </x:c>
      <x:c r="I30" s="0" t="s">
        <x:v>23</x:v>
      </x:c>
      <x:c r="K30" s="8">
        <x:v>499.5</x:v>
      </x:c>
      <x:c r="L30" s="0" t="s">
        <x:v>24</x:v>
      </x:c>
      <x:c r="M30" s="0" t="s">
        <x:v>25</x:v>
      </x:c>
      <x:c r="N30" s="0" t="s">
        <x:v>26</x:v>
      </x:c>
      <x:c r="P30" s="0" t="s">
        <x:v>27</x:v>
      </x:c>
    </x:row>
    <x:row r="31" spans="1:20">
      <x:c r="A31" s="0">
        <x:v>30</x:v>
      </x:c>
      <x:c r="B31" s="0" t="s">
        <x:v>53</x:v>
      </x:c>
      <x:c r="C31" s="0" t="s">
        <x:v>21</x:v>
      </x:c>
      <x:c r="D31" s="0" t="s">
        <x:v>22</x:v>
      </x:c>
      <x:c r="E31" s="0">
        <x:v>1</x:v>
      </x:c>
      <x:c r="F31" s="0">
        <x:v>4</x:v>
      </x:c>
      <x:c r="G31" s="8">
        <x:v>35.46</x:v>
      </x:c>
      <x:c r="H31" s="8">
        <x:v>141.83</x:v>
      </x:c>
      <x:c r="I31" s="0" t="s">
        <x:v>23</x:v>
      </x:c>
      <x:c r="K31" s="8">
        <x:v>141.83</x:v>
      </x:c>
      <x:c r="L31" s="0" t="s">
        <x:v>24</x:v>
      </x:c>
      <x:c r="M31" s="0" t="s">
        <x:v>25</x:v>
      </x:c>
      <x:c r="N31" s="0" t="s">
        <x:v>26</x:v>
      </x:c>
      <x:c r="P31" s="0" t="s">
        <x:v>27</x:v>
      </x:c>
    </x:row>
    <x:row r="32" spans="1:20">
      <x:c r="A32" s="0">
        <x:v>31</x:v>
      </x:c>
      <x:c r="B32" s="0" t="s">
        <x:v>55</x:v>
      </x:c>
      <x:c r="C32" s="0" t="s">
        <x:v>21</x:v>
      </x:c>
      <x:c r="D32" s="0" t="s">
        <x:v>22</x:v>
      </x:c>
      <x:c r="E32" s="0">
        <x:v>1</x:v>
      </x:c>
      <x:c r="F32" s="0">
        <x:v>4</x:v>
      </x:c>
      <x:c r="G32" s="8">
        <x:v>301.51</x:v>
      </x:c>
      <x:c r="H32" s="8">
        <x:v>1206.04</x:v>
      </x:c>
      <x:c r="I32" s="0" t="s">
        <x:v>23</x:v>
      </x:c>
      <x:c r="K32" s="8">
        <x:v>1206.04</x:v>
      </x:c>
      <x:c r="L32" s="0" t="s">
        <x:v>24</x:v>
      </x:c>
      <x:c r="M32" s="0" t="s">
        <x:v>25</x:v>
      </x:c>
      <x:c r="N32" s="0" t="s">
        <x:v>26</x:v>
      </x:c>
      <x:c r="P32" s="0" t="s">
        <x:v>27</x:v>
      </x:c>
    </x:row>
    <x:row r="33" spans="1:20">
      <x:c r="A33" s="0">
        <x:v>32</x:v>
      </x:c>
      <x:c r="B33" s="0" t="s">
        <x:v>155</x:v>
      </x:c>
      <x:c r="C33" s="0" t="s">
        <x:v>21</x:v>
      </x:c>
      <x:c r="D33" s="0" t="s">
        <x:v>22</x:v>
      </x:c>
      <x:c r="E33" s="0">
        <x:v>1</x:v>
      </x:c>
      <x:c r="F33" s="0">
        <x:v>1</x:v>
      </x:c>
      <x:c r="G33" s="8">
        <x:v>90</x:v>
      </x:c>
      <x:c r="H33" s="8">
        <x:v>90</x:v>
      </x:c>
      <x:c r="I33" s="0" t="s">
        <x:v>23</x:v>
      </x:c>
      <x:c r="K33" s="8">
        <x:v>90</x:v>
      </x:c>
      <x:c r="L33" s="0" t="s">
        <x:v>24</x:v>
      </x:c>
      <x:c r="M33" s="0" t="s">
        <x:v>25</x:v>
      </x:c>
      <x:c r="N33" s="0" t="s">
        <x:v>26</x:v>
      </x:c>
      <x:c r="P33" s="0" t="s">
        <x:v>27</x:v>
      </x:c>
    </x:row>
    <x:row r="34" spans="1:20">
      <x:c r="A34" s="0">
        <x:v>33</x:v>
      </x:c>
      <x:c r="B34" s="0" t="s">
        <x:v>57</x:v>
      </x:c>
      <x:c r="C34" s="0" t="s">
        <x:v>21</x:v>
      </x:c>
      <x:c r="D34" s="0" t="s">
        <x:v>22</x:v>
      </x:c>
      <x:c r="E34" s="0">
        <x:v>1</x:v>
      </x:c>
      <x:c r="F34" s="0">
        <x:v>7</x:v>
      </x:c>
      <x:c r="G34" s="8">
        <x:v>134.76</x:v>
      </x:c>
      <x:c r="H34" s="8">
        <x:v>943.33</x:v>
      </x:c>
      <x:c r="I34" s="0" t="s">
        <x:v>23</x:v>
      </x:c>
      <x:c r="K34" s="8">
        <x:v>943.33</x:v>
      </x:c>
      <x:c r="L34" s="0" t="s">
        <x:v>24</x:v>
      </x:c>
      <x:c r="M34" s="0" t="s">
        <x:v>25</x:v>
      </x:c>
      <x:c r="N34" s="0" t="s">
        <x:v>26</x:v>
      </x:c>
      <x:c r="P34" s="0" t="s">
        <x:v>27</x:v>
      </x:c>
    </x:row>
    <x:row r="35" spans="1:20">
      <x:c r="A35" s="0">
        <x:v>34</x:v>
      </x:c>
      <x:c r="B35" s="0" t="s">
        <x:v>58</x:v>
      </x:c>
      <x:c r="C35" s="0" t="s">
        <x:v>21</x:v>
      </x:c>
      <x:c r="D35" s="0" t="s">
        <x:v>22</x:v>
      </x:c>
      <x:c r="E35" s="0">
        <x:v>1</x:v>
      </x:c>
      <x:c r="F35" s="0">
        <x:v>2</x:v>
      </x:c>
      <x:c r="G35" s="8">
        <x:v>280</x:v>
      </x:c>
      <x:c r="H35" s="8">
        <x:v>560</x:v>
      </x:c>
      <x:c r="I35" s="0" t="s">
        <x:v>23</x:v>
      </x:c>
      <x:c r="K35" s="8">
        <x:v>560</x:v>
      </x:c>
      <x:c r="L35" s="0" t="s">
        <x:v>24</x:v>
      </x:c>
      <x:c r="M35" s="0" t="s">
        <x:v>25</x:v>
      </x:c>
      <x:c r="N35" s="0" t="s">
        <x:v>26</x:v>
      </x:c>
      <x:c r="P35" s="0" t="s">
        <x:v>27</x:v>
      </x:c>
    </x:row>
    <x:row r="36" spans="1:20">
      <x:c r="A36" s="0">
        <x:v>35</x:v>
      </x:c>
      <x:c r="B36" s="0" t="s">
        <x:v>60</x:v>
      </x:c>
      <x:c r="C36" s="0" t="s">
        <x:v>21</x:v>
      </x:c>
      <x:c r="D36" s="0" t="s">
        <x:v>22</x:v>
      </x:c>
      <x:c r="E36" s="0">
        <x:v>1</x:v>
      </x:c>
      <x:c r="F36" s="0">
        <x:v>3</x:v>
      </x:c>
      <x:c r="G36" s="8">
        <x:v>142.33</x:v>
      </x:c>
      <x:c r="H36" s="8">
        <x:v>427</x:v>
      </x:c>
      <x:c r="I36" s="0" t="s">
        <x:v>23</x:v>
      </x:c>
      <x:c r="K36" s="8">
        <x:v>427</x:v>
      </x:c>
      <x:c r="L36" s="0" t="s">
        <x:v>24</x:v>
      </x:c>
      <x:c r="M36" s="0" t="s">
        <x:v>25</x:v>
      </x:c>
      <x:c r="N36" s="0" t="s">
        <x:v>26</x:v>
      </x:c>
      <x:c r="P36" s="0" t="s">
        <x:v>27</x:v>
      </x:c>
    </x:row>
    <x:row r="37" spans="1:20">
      <x:c r="A37" s="0">
        <x:v>36</x:v>
      </x:c>
      <x:c r="B37" s="0" t="s">
        <x:v>130</x:v>
      </x:c>
      <x:c r="C37" s="0" t="s">
        <x:v>21</x:v>
      </x:c>
      <x:c r="D37" s="0" t="s">
        <x:v>34</x:v>
      </x:c>
      <x:c r="E37" s="0">
        <x:v>1</x:v>
      </x:c>
      <x:c r="F37" s="0">
        <x:v>0.1</x:v>
      </x:c>
      <x:c r="G37" s="8">
        <x:v>3070</x:v>
      </x:c>
      <x:c r="H37" s="8">
        <x:v>307</x:v>
      </x:c>
      <x:c r="I37" s="0" t="s">
        <x:v>23</x:v>
      </x:c>
      <x:c r="K37" s="8">
        <x:v>307</x:v>
      </x:c>
      <x:c r="L37" s="0" t="s">
        <x:v>24</x:v>
      </x:c>
      <x:c r="M37" s="0" t="s">
        <x:v>25</x:v>
      </x:c>
      <x:c r="N37" s="0" t="s">
        <x:v>26</x:v>
      </x:c>
      <x:c r="P37" s="0" t="s">
        <x:v>27</x:v>
      </x:c>
    </x:row>
    <x:row r="38" spans="1:20">
      <x:c r="H38" s="18">
        <x:f>SUM(H2:H37)</x:f>
      </x:c>
    </x:row>
    <x:row r="40" spans="1:20">
      <x:c r="B40" s="19" t="s">
        <x:v>163</x:v>
      </x:c>
      <x:c r="C40" s="20"/>
      <x:c r="D40" s="20"/>
      <x:c r="E40" s="20"/>
      <x:c r="F40" s="20"/>
      <x:c r="G40" s="20"/>
      <x:c r="H40" s="21">
        <x:f>SUM(H41:H43)</x:f>
      </x:c>
      <x:c r="I40" s="22" t="s">
        <x:v>164</x:v>
      </x:c>
    </x:row>
    <x:row r="41" spans="1:20">
      <x:c r="B41" s="21" t="s">
        <x:v>165</x:v>
      </x:c>
      <x:c r="C41" s="21"/>
      <x:c r="D41" s="21"/>
      <x:c r="E41" s="21"/>
      <x:c r="F41" s="20">
        <x:f>F2+F3+F4+F5+F6+F8+F9+F15+F16+F19+F24+F25+F26+F30+F34+F35+F36</x:f>
      </x:c>
      <x:c r="G41" s="20">
        <x:f>G2+G3+G4+G5+G6+G8+G9+G15+G16+G19+G24+G25+G26+G30+G34+G35+G36</x:f>
      </x:c>
      <x:c r="H41" s="20">
        <x:f>H2+H3+H4+H5+H6+H8+H9+H15+H16+H19+H24+H25+H26+H30+H34+H35+H36</x:f>
      </x:c>
      <x:c r="I41" s="15"/>
    </x:row>
    <x:row r="42" spans="1:20">
      <x:c r="B42" s="21" t="s">
        <x:v>166</x:v>
      </x:c>
      <x:c r="C42" s="21"/>
      <x:c r="D42" s="21"/>
      <x:c r="E42" s="21"/>
      <x:c r="F42" s="20">
        <x:f>F27</x:f>
      </x:c>
      <x:c r="G42" s="20">
        <x:f>G27</x:f>
      </x:c>
      <x:c r="H42" s="20">
        <x:f>H27</x:f>
      </x:c>
      <x:c r="I42" s="15"/>
    </x:row>
    <x:row r="43" spans="1:20">
      <x:c r="B43" s="21" t="s">
        <x:v>167</x:v>
      </x:c>
      <x:c r="C43" s="21"/>
      <x:c r="D43" s="21"/>
      <x:c r="E43" s="21"/>
      <x:c r="F43" s="20">
        <x:f>F10+F29+F31</x:f>
      </x:c>
      <x:c r="G43" s="20">
        <x:f>G10+G29+G31</x:f>
      </x:c>
      <x:c r="H43" s="20">
        <x:f>H10+H29+H31</x:f>
      </x:c>
      <x:c r="I43" s="15"/>
    </x:row>
    <x:row r="44" spans="1:20">
      <x:c r="B44" s="19" t="s">
        <x:v>168</x:v>
      </x:c>
      <x:c r="C44" s="20"/>
      <x:c r="D44" s="20"/>
      <x:c r="E44" s="20"/>
      <x:c r="F44" s="20"/>
      <x:c r="G44" s="20"/>
      <x:c r="H44" s="21">
        <x:f>SUM(H45:H51)</x:f>
      </x:c>
      <x:c r="I44" s="22" t="s">
        <x:v>169</x:v>
      </x:c>
    </x:row>
    <x:row r="45" spans="1:20">
      <x:c r="B45" s="21" t="s">
        <x:v>170</x:v>
      </x:c>
      <x:c r="C45" s="21"/>
      <x:c r="D45" s="21"/>
      <x:c r="E45" s="21"/>
      <x:c r="F45" s="20">
        <x:f>F11+F12+F13+F14</x:f>
      </x:c>
      <x:c r="G45" s="20">
        <x:f>G11+G12+G13+G14</x:f>
      </x:c>
      <x:c r="H45" s="20">
        <x:f>H11+H12+H13+H14</x:f>
      </x:c>
      <x:c r="I45" s="15"/>
    </x:row>
    <x:row r="46" spans="1:20">
      <x:c r="B46" s="21" t="s">
        <x:v>171</x:v>
      </x:c>
      <x:c r="C46" s="21"/>
      <x:c r="D46" s="21"/>
      <x:c r="E46" s="21"/>
      <x:c r="F46" s="20">
        <x:f>F18</x:f>
      </x:c>
      <x:c r="G46" s="20">
        <x:f>G18</x:f>
      </x:c>
      <x:c r="H46" s="20">
        <x:f>H18</x:f>
      </x:c>
      <x:c r="I46" s="15"/>
    </x:row>
    <x:row r="47" spans="1:20">
      <x:c r="B47" s="21" t="s">
        <x:v>172</x:v>
      </x:c>
      <x:c r="C47" s="21"/>
      <x:c r="D47" s="21"/>
      <x:c r="E47" s="21"/>
      <x:c r="F47" s="20"/>
      <x:c r="G47" s="20"/>
      <x:c r="H47" s="20"/>
      <x:c r="I47" s="15"/>
    </x:row>
    <x:row r="48" spans="1:20">
      <x:c r="B48" s="21" t="s">
        <x:v>173</x:v>
      </x:c>
      <x:c r="C48" s="21"/>
      <x:c r="D48" s="21"/>
      <x:c r="E48" s="21"/>
      <x:c r="F48" s="20">
        <x:f>F7+F37</x:f>
      </x:c>
      <x:c r="G48" s="20">
        <x:f>G7+G37</x:f>
      </x:c>
      <x:c r="H48" s="20">
        <x:f>H7+H37</x:f>
      </x:c>
      <x:c r="I48" s="15"/>
    </x:row>
    <x:row r="49" spans="1:20">
      <x:c r="B49" s="21" t="s">
        <x:v>174</x:v>
      </x:c>
      <x:c r="C49" s="21"/>
      <x:c r="D49" s="21"/>
      <x:c r="E49" s="21"/>
      <x:c r="F49" s="20"/>
      <x:c r="G49" s="20"/>
      <x:c r="H49" s="20"/>
      <x:c r="I49" s="15"/>
    </x:row>
    <x:row r="50" spans="1:20">
      <x:c r="B50" s="21" t="s">
        <x:v>70</x:v>
      </x:c>
      <x:c r="C50" s="21"/>
      <x:c r="D50" s="21"/>
      <x:c r="E50" s="21"/>
      <x:c r="F50" s="20"/>
      <x:c r="G50" s="20"/>
      <x:c r="H50" s="20"/>
      <x:c r="I50" s="15"/>
    </x:row>
    <x:row r="51" spans="1:20">
      <x:c r="B51" s="21" t="s">
        <x:v>175</x:v>
      </x:c>
      <x:c r="C51" s="21"/>
      <x:c r="D51" s="21"/>
      <x:c r="E51" s="21"/>
      <x:c r="F51" s="20"/>
      <x:c r="G51" s="20"/>
      <x:c r="H51" s="20"/>
      <x:c r="I51" s="15"/>
    </x:row>
    <x:row r="52" spans="1:20">
      <x:c r="B52" s="19" t="s">
        <x:v>176</x:v>
      </x:c>
      <x:c r="C52" s="20"/>
      <x:c r="D52" s="20"/>
      <x:c r="E52" s="20"/>
      <x:c r="F52" s="20"/>
      <x:c r="G52" s="20"/>
      <x:c r="H52" s="21">
        <x:f>SUM(H53:H58)</x:f>
      </x:c>
      <x:c r="I52" s="22" t="s">
        <x:v>177</x:v>
      </x:c>
    </x:row>
    <x:row r="53" spans="1:20">
      <x:c r="B53" s="21" t="s">
        <x:v>178</x:v>
      </x:c>
      <x:c r="C53" s="21"/>
      <x:c r="D53" s="21"/>
      <x:c r="E53" s="21"/>
      <x:c r="F53" s="20"/>
      <x:c r="G53" s="20"/>
      <x:c r="H53" s="20"/>
      <x:c r="I53" s="15"/>
    </x:row>
    <x:row r="54" spans="1:20">
      <x:c r="B54" s="21" t="s">
        <x:v>179</x:v>
      </x:c>
      <x:c r="C54" s="21"/>
      <x:c r="D54" s="21"/>
      <x:c r="E54" s="21"/>
      <x:c r="F54" s="20">
        <x:f>F32</x:f>
      </x:c>
      <x:c r="G54" s="20">
        <x:f>G32</x:f>
      </x:c>
      <x:c r="H54" s="20">
        <x:f>H32</x:f>
      </x:c>
      <x:c r="I54" s="15"/>
    </x:row>
    <x:row r="55" spans="1:20">
      <x:c r="B55" s="21" t="s">
        <x:v>54</x:v>
      </x:c>
      <x:c r="C55" s="21"/>
      <x:c r="D55" s="21"/>
      <x:c r="E55" s="21"/>
      <x:c r="F55" s="20"/>
      <x:c r="G55" s="20"/>
      <x:c r="H55" s="20"/>
      <x:c r="I55" s="15"/>
    </x:row>
    <x:row r="56" spans="1:20">
      <x:c r="B56" s="21" t="s">
        <x:v>180</x:v>
      </x:c>
      <x:c r="C56" s="21"/>
      <x:c r="D56" s="21"/>
      <x:c r="E56" s="21"/>
      <x:c r="F56" s="20">
        <x:f>F17+F20+F21</x:f>
      </x:c>
      <x:c r="G56" s="20">
        <x:f>G17+G20+G21</x:f>
      </x:c>
      <x:c r="H56" s="20">
        <x:f>H17+H20+H21</x:f>
      </x:c>
      <x:c r="I56" s="15"/>
    </x:row>
    <x:row r="57" spans="1:20">
      <x:c r="B57" s="21" t="s">
        <x:v>181</x:v>
      </x:c>
      <x:c r="C57" s="21"/>
      <x:c r="D57" s="21"/>
      <x:c r="E57" s="21"/>
      <x:c r="F57" s="20">
        <x:f>F23+F28+F33</x:f>
      </x:c>
      <x:c r="G57" s="20">
        <x:f>G23+G28+G33</x:f>
      </x:c>
      <x:c r="H57" s="20">
        <x:f>H23+H28+H33</x:f>
      </x:c>
      <x:c r="I57" s="15"/>
    </x:row>
    <x:row r="58" spans="1:20">
      <x:c r="B58" s="21" t="s">
        <x:v>182</x:v>
      </x:c>
      <x:c r="C58" s="21"/>
      <x:c r="D58" s="21"/>
      <x:c r="E58" s="21"/>
      <x:c r="F58" s="20">
        <x:f>F22</x:f>
      </x:c>
      <x:c r="G58" s="20">
        <x:f>G22</x:f>
      </x:c>
      <x:c r="H58" s="20">
        <x:f>H22</x:f>
      </x:c>
      <x:c r="I58" s="15"/>
    </x:row>
    <x:row r="59" spans="1:20">
      <x:c r="B59" s="19" t="s">
        <x:v>183</x:v>
      </x:c>
      <x:c r="C59" s="20"/>
      <x:c r="D59" s="20"/>
      <x:c r="E59" s="20"/>
      <x:c r="F59" s="20"/>
      <x:c r="G59" s="20"/>
      <x:c r="H59" s="21">
        <x:f>SUM(H60:H61)</x:f>
      </x:c>
      <x:c r="I59" s="22"/>
    </x:row>
    <x:row r="60" spans="1:20">
      <x:c r="B60" s="21" t="s">
        <x:v>184</x:v>
      </x:c>
      <x:c r="C60" s="21"/>
      <x:c r="D60" s="21"/>
      <x:c r="E60" s="21"/>
      <x:c r="F60" s="20"/>
      <x:c r="G60" s="20"/>
      <x:c r="H60" s="20"/>
      <x:c r="I60" s="15"/>
    </x:row>
    <x:row r="61" spans="1:20">
      <x:c r="B61" s="21" t="s">
        <x:v>185</x:v>
      </x:c>
      <x:c r="C61" s="21"/>
      <x:c r="D61" s="21"/>
      <x:c r="E61" s="21"/>
      <x:c r="F61" s="20"/>
      <x:c r="G61" s="20"/>
      <x:c r="H61" s="20"/>
      <x:c r="I61" s="15"/>
    </x:row>
    <x:row r="62" spans="1:20">
      <x:c r="B62" s="22"/>
      <x:c r="C62" s="22"/>
      <x:c r="D62" s="22"/>
      <x:c r="E62" s="22"/>
      <x:c r="F62" s="15"/>
      <x:c r="G62" s="15"/>
      <x:c r="H62" s="22">
        <x:f>H40+H44+H52+H59</x:f>
      </x:c>
      <x:c r="I62" s="15"/>
    </x:row>
    <x:row r="63" spans="1:20">
      <x:c r="H63" s="17">
        <x:f>H62 - H38</x:f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2EBAC7A-DFDA-D840-85F3-DA5518EEFF77}" mc:Ignorable="x14ac xr xr2 xr3">
  <x:sheetPr>
    <x:outlinePr summaryBelow="1" summaryRight="1"/>
  </x:sheetPr>
  <x:dimension ref="A1:T28"/>
  <x:sheetViews>
    <x:sheetView topLeftCell="A13" workbookViewId="0"/>
  </x:sheetViews>
  <x:sheetFormatPr defaultColWidth="11.085625" defaultRowHeight="15.75"/>
  <x:sheetData>
    <x:row r="1" spans="1:2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</x:row>
    <x:row r="2" spans="1:20">
      <x:c r="A2" s="0">
        <x:v>1</x:v>
      </x:c>
      <x:c r="B2" s="0" t="s">
        <x:v>61</x:v>
      </x:c>
      <x:c r="C2" s="0" t="s">
        <x:v>21</x:v>
      </x:c>
      <x:c r="D2" s="0" t="s">
        <x:v>22</x:v>
      </x:c>
      <x:c r="E2" s="0">
        <x:v>1</x:v>
      </x:c>
      <x:c r="F2" s="0">
        <x:v>2</x:v>
      </x:c>
      <x:c r="G2" s="8">
        <x:v>250</x:v>
      </x:c>
      <x:c r="H2" s="8">
        <x:v>500</x:v>
      </x:c>
      <x:c r="I2" s="0" t="s">
        <x:v>23</x:v>
      </x:c>
      <x:c r="K2" s="8">
        <x:v>500</x:v>
      </x:c>
      <x:c r="L2" s="0" t="s">
        <x:v>24</x:v>
      </x:c>
      <x:c r="M2" s="0" t="s">
        <x:v>25</x:v>
      </x:c>
      <x:c r="N2" s="0" t="s">
        <x:v>26</x:v>
      </x:c>
      <x:c r="P2" s="0" t="s">
        <x:v>27</x:v>
      </x:c>
    </x:row>
    <x:row r="3" spans="1:20">
      <x:c r="A3" s="0">
        <x:v>2</x:v>
      </x:c>
      <x:c r="B3" s="0" t="s">
        <x:v>20</x:v>
      </x:c>
      <x:c r="C3" s="0" t="s">
        <x:v>21</x:v>
      </x:c>
      <x:c r="D3" s="0" t="s">
        <x:v>22</x:v>
      </x:c>
      <x:c r="E3" s="0">
        <x:v>1</x:v>
      </x:c>
      <x:c r="F3" s="0">
        <x:v>1</x:v>
      </x:c>
      <x:c r="G3" s="8">
        <x:v>150</x:v>
      </x:c>
      <x:c r="H3" s="8">
        <x:v>150</x:v>
      </x:c>
      <x:c r="I3" s="0" t="s">
        <x:v>23</x:v>
      </x:c>
      <x:c r="K3" s="8">
        <x:v>150</x:v>
      </x:c>
      <x:c r="L3" s="0" t="s">
        <x:v>24</x:v>
      </x:c>
      <x:c r="M3" s="0" t="s">
        <x:v>25</x:v>
      </x:c>
      <x:c r="N3" s="0" t="s">
        <x:v>26</x:v>
      </x:c>
      <x:c r="P3" s="0" t="s">
        <x:v>27</x:v>
      </x:c>
    </x:row>
    <x:row r="4" spans="1:20">
      <x:c r="A4" s="0">
        <x:v>3</x:v>
      </x:c>
      <x:c r="B4" s="0" t="s">
        <x:v>113</x:v>
      </x:c>
      <x:c r="C4" s="0" t="s">
        <x:v>21</x:v>
      </x:c>
      <x:c r="D4" s="0" t="s">
        <x:v>22</x:v>
      </x:c>
      <x:c r="E4" s="0">
        <x:v>1</x:v>
      </x:c>
      <x:c r="F4" s="0">
        <x:v>1</x:v>
      </x:c>
      <x:c r="G4" s="8">
        <x:v>286</x:v>
      </x:c>
      <x:c r="H4" s="8">
        <x:v>286</x:v>
      </x:c>
      <x:c r="I4" s="0" t="s">
        <x:v>23</x:v>
      </x:c>
      <x:c r="K4" s="8">
        <x:v>286</x:v>
      </x:c>
      <x:c r="L4" s="0" t="s">
        <x:v>24</x:v>
      </x:c>
      <x:c r="M4" s="0" t="s">
        <x:v>25</x:v>
      </x:c>
      <x:c r="N4" s="0" t="s">
        <x:v>26</x:v>
      </x:c>
      <x:c r="P4" s="0" t="s">
        <x:v>27</x:v>
      </x:c>
    </x:row>
    <x:row r="5" spans="1:20">
      <x:c r="A5" s="0">
        <x:v>4</x:v>
      </x:c>
      <x:c r="B5" s="0" t="s">
        <x:v>28</x:v>
      </x:c>
      <x:c r="C5" s="0" t="s">
        <x:v>21</x:v>
      </x:c>
      <x:c r="D5" s="0" t="s">
        <x:v>22</x:v>
      </x:c>
      <x:c r="E5" s="0">
        <x:v>1</x:v>
      </x:c>
      <x:c r="F5" s="0">
        <x:v>2</x:v>
      </x:c>
      <x:c r="G5" s="8">
        <x:v>208.06</x:v>
      </x:c>
      <x:c r="H5" s="8">
        <x:v>416.12</x:v>
      </x:c>
      <x:c r="I5" s="0" t="s">
        <x:v>23</x:v>
      </x:c>
      <x:c r="K5" s="8">
        <x:v>416.12</x:v>
      </x:c>
      <x:c r="L5" s="0" t="s">
        <x:v>24</x:v>
      </x:c>
      <x:c r="M5" s="0" t="s">
        <x:v>25</x:v>
      </x:c>
      <x:c r="N5" s="0" t="s">
        <x:v>26</x:v>
      </x:c>
      <x:c r="P5" s="0" t="s">
        <x:v>27</x:v>
      </x:c>
    </x:row>
    <x:row r="6" spans="1:20">
      <x:c r="A6" s="0">
        <x:v>5</x:v>
      </x:c>
      <x:c r="B6" s="0" t="s">
        <x:v>29</x:v>
      </x:c>
      <x:c r="C6" s="0" t="s">
        <x:v>21</x:v>
      </x:c>
      <x:c r="D6" s="0" t="s">
        <x:v>22</x:v>
      </x:c>
      <x:c r="E6" s="0">
        <x:v>1</x:v>
      </x:c>
      <x:c r="F6" s="0">
        <x:v>3</x:v>
      </x:c>
      <x:c r="G6" s="8">
        <x:v>154.67</x:v>
      </x:c>
      <x:c r="H6" s="8">
        <x:v>464</x:v>
      </x:c>
      <x:c r="I6" s="0" t="s">
        <x:v>23</x:v>
      </x:c>
      <x:c r="K6" s="8">
        <x:v>464</x:v>
      </x:c>
      <x:c r="L6" s="0" t="s">
        <x:v>24</x:v>
      </x:c>
      <x:c r="M6" s="0" t="s">
        <x:v>25</x:v>
      </x:c>
      <x:c r="N6" s="0" t="s">
        <x:v>26</x:v>
      </x:c>
      <x:c r="P6" s="0" t="s">
        <x:v>27</x:v>
      </x:c>
    </x:row>
    <x:row r="7" spans="1:20">
      <x:c r="A7" s="0">
        <x:v>6</x:v>
      </x:c>
      <x:c r="B7" s="0" t="s">
        <x:v>30</x:v>
      </x:c>
      <x:c r="C7" s="0" t="s">
        <x:v>21</x:v>
      </x:c>
      <x:c r="D7" s="0" t="s">
        <x:v>22</x:v>
      </x:c>
      <x:c r="E7" s="0">
        <x:v>1</x:v>
      </x:c>
      <x:c r="F7" s="0">
        <x:v>2</x:v>
      </x:c>
      <x:c r="G7" s="8">
        <x:v>283.89</x:v>
      </x:c>
      <x:c r="H7" s="8">
        <x:v>567.77</x:v>
      </x:c>
      <x:c r="I7" s="0" t="s">
        <x:v>23</x:v>
      </x:c>
      <x:c r="K7" s="8">
        <x:v>567.77</x:v>
      </x:c>
      <x:c r="L7" s="0" t="s">
        <x:v>24</x:v>
      </x:c>
      <x:c r="M7" s="0" t="s">
        <x:v>25</x:v>
      </x:c>
      <x:c r="N7" s="0" t="s">
        <x:v>26</x:v>
      </x:c>
      <x:c r="P7" s="0" t="s">
        <x:v>27</x:v>
      </x:c>
    </x:row>
    <x:row r="8" spans="1:20">
      <x:c r="A8" s="0">
        <x:v>7</x:v>
      </x:c>
      <x:c r="B8" s="0" t="s">
        <x:v>31</x:v>
      </x:c>
      <x:c r="C8" s="0" t="s">
        <x:v>21</x:v>
      </x:c>
      <x:c r="D8" s="0" t="s">
        <x:v>22</x:v>
      </x:c>
      <x:c r="E8" s="0">
        <x:v>1</x:v>
      </x:c>
      <x:c r="F8" s="0">
        <x:v>1</x:v>
      </x:c>
      <x:c r="G8" s="8">
        <x:v>100</x:v>
      </x:c>
      <x:c r="H8" s="8">
        <x:v>100</x:v>
      </x:c>
      <x:c r="I8" s="0" t="s">
        <x:v>23</x:v>
      </x:c>
      <x:c r="K8" s="8">
        <x:v>100</x:v>
      </x:c>
      <x:c r="L8" s="0" t="s">
        <x:v>24</x:v>
      </x:c>
      <x:c r="M8" s="0" t="s">
        <x:v>25</x:v>
      </x:c>
      <x:c r="N8" s="0" t="s">
        <x:v>26</x:v>
      </x:c>
      <x:c r="P8" s="0" t="s">
        <x:v>27</x:v>
      </x:c>
    </x:row>
    <x:row r="9" spans="1:20">
      <x:c r="A9" s="0">
        <x:v>8</x:v>
      </x:c>
      <x:c r="B9" s="0" t="s">
        <x:v>158</x:v>
      </x:c>
      <x:c r="C9" s="0" t="s">
        <x:v>21</x:v>
      </x:c>
      <x:c r="D9" s="0" t="s">
        <x:v>34</x:v>
      </x:c>
      <x:c r="E9" s="0">
        <x:v>1</x:v>
      </x:c>
      <x:c r="F9" s="0">
        <x:v>0.1</x:v>
      </x:c>
      <x:c r="G9" s="8">
        <x:v>3000</x:v>
      </x:c>
      <x:c r="H9" s="8">
        <x:v>300</x:v>
      </x:c>
      <x:c r="I9" s="0" t="s">
        <x:v>23</x:v>
      </x:c>
      <x:c r="K9" s="8">
        <x:v>300</x:v>
      </x:c>
      <x:c r="L9" s="0" t="s">
        <x:v>24</x:v>
      </x:c>
      <x:c r="M9" s="0" t="s">
        <x:v>25</x:v>
      </x:c>
      <x:c r="N9" s="0" t="s">
        <x:v>26</x:v>
      </x:c>
      <x:c r="P9" s="0" t="s">
        <x:v>27</x:v>
      </x:c>
    </x:row>
    <x:row r="10" spans="1:20">
      <x:c r="A10" s="0">
        <x:v>9</x:v>
      </x:c>
      <x:c r="B10" s="0" t="s">
        <x:v>134</x:v>
      </x:c>
      <x:c r="C10" s="0" t="s">
        <x:v>21</x:v>
      </x:c>
      <x:c r="D10" s="0" t="s">
        <x:v>34</x:v>
      </x:c>
      <x:c r="E10" s="0">
        <x:v>1</x:v>
      </x:c>
      <x:c r="F10" s="0">
        <x:v>0.2</x:v>
      </x:c>
      <x:c r="G10" s="8">
        <x:v>3480</x:v>
      </x:c>
      <x:c r="H10" s="8">
        <x:v>696</x:v>
      </x:c>
      <x:c r="I10" s="0" t="s">
        <x:v>23</x:v>
      </x:c>
      <x:c r="K10" s="8">
        <x:v>696</x:v>
      </x:c>
      <x:c r="L10" s="0" t="s">
        <x:v>24</x:v>
      </x:c>
      <x:c r="M10" s="0" t="s">
        <x:v>25</x:v>
      </x:c>
      <x:c r="N10" s="0" t="s">
        <x:v>26</x:v>
      </x:c>
      <x:c r="P10" s="0" t="s">
        <x:v>27</x:v>
      </x:c>
    </x:row>
    <x:row r="11" spans="1:20">
      <x:c r="A11" s="0">
        <x:v>10</x:v>
      </x:c>
      <x:c r="B11" s="0" t="s">
        <x:v>64</x:v>
      </x:c>
      <x:c r="C11" s="0" t="s">
        <x:v>21</x:v>
      </x:c>
      <x:c r="D11" s="0" t="s">
        <x:v>34</x:v>
      </x:c>
      <x:c r="E11" s="0">
        <x:v>1</x:v>
      </x:c>
      <x:c r="F11" s="0">
        <x:v>0.15</x:v>
      </x:c>
      <x:c r="G11" s="8">
        <x:v>3480</x:v>
      </x:c>
      <x:c r="H11" s="8">
        <x:v>522</x:v>
      </x:c>
      <x:c r="I11" s="0" t="s">
        <x:v>23</x:v>
      </x:c>
      <x:c r="K11" s="8">
        <x:v>522</x:v>
      </x:c>
      <x:c r="L11" s="0" t="s">
        <x:v>24</x:v>
      </x:c>
      <x:c r="M11" s="0" t="s">
        <x:v>25</x:v>
      </x:c>
      <x:c r="N11" s="0" t="s">
        <x:v>26</x:v>
      </x:c>
      <x:c r="P11" s="0" t="s">
        <x:v>27</x:v>
      </x:c>
    </x:row>
    <x:row r="12" spans="1:20">
      <x:c r="A12" s="0">
        <x:v>11</x:v>
      </x:c>
      <x:c r="B12" s="0" t="s">
        <x:v>120</x:v>
      </x:c>
      <x:c r="C12" s="0" t="s">
        <x:v>21</x:v>
      </x:c>
      <x:c r="D12" s="0" t="s">
        <x:v>34</x:v>
      </x:c>
      <x:c r="E12" s="0">
        <x:v>1</x:v>
      </x:c>
      <x:c r="F12" s="0">
        <x:v>0.4</x:v>
      </x:c>
      <x:c r="G12" s="8">
        <x:v>4980</x:v>
      </x:c>
      <x:c r="H12" s="8">
        <x:v>1992</x:v>
      </x:c>
      <x:c r="I12" s="0" t="s">
        <x:v>23</x:v>
      </x:c>
      <x:c r="K12" s="8">
        <x:v>1992</x:v>
      </x:c>
      <x:c r="L12" s="0" t="s">
        <x:v>24</x:v>
      </x:c>
      <x:c r="M12" s="0" t="s">
        <x:v>25</x:v>
      </x:c>
      <x:c r="N12" s="0" t="s">
        <x:v>26</x:v>
      </x:c>
      <x:c r="P12" s="0" t="s">
        <x:v>27</x:v>
      </x:c>
    </x:row>
    <x:row r="13" spans="1:20">
      <x:c r="A13" s="0">
        <x:v>12</x:v>
      </x:c>
      <x:c r="B13" s="0" t="s">
        <x:v>94</x:v>
      </x:c>
      <x:c r="C13" s="0" t="s">
        <x:v>21</x:v>
      </x:c>
      <x:c r="D13" s="0" t="s">
        <x:v>22</x:v>
      </x:c>
      <x:c r="E13" s="0">
        <x:v>1</x:v>
      </x:c>
      <x:c r="F13" s="0">
        <x:v>3</x:v>
      </x:c>
      <x:c r="G13" s="8">
        <x:v>85</x:v>
      </x:c>
      <x:c r="H13" s="8">
        <x:v>255</x:v>
      </x:c>
      <x:c r="I13" s="0" t="s">
        <x:v>23</x:v>
      </x:c>
      <x:c r="K13" s="8">
        <x:v>255</x:v>
      </x:c>
      <x:c r="L13" s="0" t="s">
        <x:v>24</x:v>
      </x:c>
      <x:c r="M13" s="0" t="s">
        <x:v>25</x:v>
      </x:c>
      <x:c r="N13" s="0" t="s">
        <x:v>26</x:v>
      </x:c>
      <x:c r="P13" s="0" t="s">
        <x:v>27</x:v>
      </x:c>
    </x:row>
    <x:row r="14" spans="1:20">
      <x:c r="A14" s="0">
        <x:v>13</x:v>
      </x:c>
      <x:c r="B14" s="0" t="s">
        <x:v>39</x:v>
      </x:c>
      <x:c r="C14" s="0" t="s">
        <x:v>21</x:v>
      </x:c>
      <x:c r="D14" s="0" t="s">
        <x:v>22</x:v>
      </x:c>
      <x:c r="E14" s="0">
        <x:v>1</x:v>
      </x:c>
      <x:c r="F14" s="0">
        <x:v>1</x:v>
      </x:c>
      <x:c r="G14" s="8">
        <x:v>250</x:v>
      </x:c>
      <x:c r="H14" s="8">
        <x:v>250</x:v>
      </x:c>
      <x:c r="I14" s="0" t="s">
        <x:v>23</x:v>
      </x:c>
      <x:c r="K14" s="8">
        <x:v>250</x:v>
      </x:c>
      <x:c r="L14" s="0" t="s">
        <x:v>24</x:v>
      </x:c>
      <x:c r="M14" s="0" t="s">
        <x:v>25</x:v>
      </x:c>
      <x:c r="N14" s="0" t="s">
        <x:v>26</x:v>
      </x:c>
      <x:c r="P14" s="0" t="s">
        <x:v>27</x:v>
      </x:c>
    </x:row>
    <x:row r="15" spans="1:20">
      <x:c r="A15" s="0">
        <x:v>14</x:v>
      </x:c>
      <x:c r="B15" s="0" t="s">
        <x:v>40</x:v>
      </x:c>
      <x:c r="C15" s="0" t="s">
        <x:v>21</x:v>
      </x:c>
      <x:c r="D15" s="0" t="s">
        <x:v>22</x:v>
      </x:c>
      <x:c r="E15" s="0">
        <x:v>1</x:v>
      </x:c>
      <x:c r="F15" s="0">
        <x:v>2</x:v>
      </x:c>
      <x:c r="G15" s="8">
        <x:v>400</x:v>
      </x:c>
      <x:c r="H15" s="8">
        <x:v>800</x:v>
      </x:c>
      <x:c r="I15" s="0" t="s">
        <x:v>23</x:v>
      </x:c>
      <x:c r="K15" s="8">
        <x:v>800</x:v>
      </x:c>
      <x:c r="L15" s="0" t="s">
        <x:v>24</x:v>
      </x:c>
      <x:c r="M15" s="0" t="s">
        <x:v>25</x:v>
      </x:c>
      <x:c r="N15" s="0" t="s">
        <x:v>26</x:v>
      </x:c>
      <x:c r="P15" s="0" t="s">
        <x:v>27</x:v>
      </x:c>
    </x:row>
    <x:row r="16" spans="1:20">
      <x:c r="A16" s="0">
        <x:v>15</x:v>
      </x:c>
      <x:c r="B16" s="0" t="s">
        <x:v>41</x:v>
      </x:c>
      <x:c r="C16" s="0" t="s">
        <x:v>21</x:v>
      </x:c>
      <x:c r="D16" s="0" t="s">
        <x:v>22</x:v>
      </x:c>
      <x:c r="E16" s="0">
        <x:v>1</x:v>
      </x:c>
      <x:c r="F16" s="0">
        <x:v>2</x:v>
      </x:c>
      <x:c r="G16" s="8">
        <x:v>300</x:v>
      </x:c>
      <x:c r="H16" s="8">
        <x:v>600</x:v>
      </x:c>
      <x:c r="I16" s="0" t="s">
        <x:v>23</x:v>
      </x:c>
      <x:c r="K16" s="8">
        <x:v>600</x:v>
      </x:c>
      <x:c r="L16" s="0" t="s">
        <x:v>24</x:v>
      </x:c>
      <x:c r="M16" s="0" t="s">
        <x:v>25</x:v>
      </x:c>
      <x:c r="N16" s="0" t="s">
        <x:v>26</x:v>
      </x:c>
      <x:c r="P16" s="0" t="s">
        <x:v>27</x:v>
      </x:c>
    </x:row>
    <x:row r="17" spans="1:20">
      <x:c r="A17" s="0">
        <x:v>16</x:v>
      </x:c>
      <x:c r="B17" s="0" t="s">
        <x:v>159</x:v>
      </x:c>
      <x:c r="C17" s="0" t="s">
        <x:v>21</x:v>
      </x:c>
      <x:c r="D17" s="0" t="s">
        <x:v>22</x:v>
      </x:c>
      <x:c r="E17" s="0">
        <x:v>1</x:v>
      </x:c>
      <x:c r="F17" s="0">
        <x:v>1</x:v>
      </x:c>
      <x:c r="G17" s="8">
        <x:v>215.1</x:v>
      </x:c>
      <x:c r="H17" s="8">
        <x:v>215.1</x:v>
      </x:c>
      <x:c r="I17" s="0" t="s">
        <x:v>23</x:v>
      </x:c>
      <x:c r="K17" s="8">
        <x:v>215.1</x:v>
      </x:c>
      <x:c r="L17" s="0" t="s">
        <x:v>24</x:v>
      </x:c>
      <x:c r="M17" s="0" t="s">
        <x:v>25</x:v>
      </x:c>
      <x:c r="N17" s="0" t="s">
        <x:v>26</x:v>
      </x:c>
      <x:c r="P17" s="0" t="s">
        <x:v>27</x:v>
      </x:c>
    </x:row>
    <x:row r="18" spans="1:20">
      <x:c r="A18" s="0">
        <x:v>17</x:v>
      </x:c>
      <x:c r="B18" s="0" t="s">
        <x:v>44</x:v>
      </x:c>
      <x:c r="C18" s="0" t="s">
        <x:v>21</x:v>
      </x:c>
      <x:c r="D18" s="0" t="s">
        <x:v>22</x:v>
      </x:c>
      <x:c r="E18" s="0">
        <x:v>1</x:v>
      </x:c>
      <x:c r="F18" s="0">
        <x:v>2</x:v>
      </x:c>
      <x:c r="G18" s="8">
        <x:v>83.11</x:v>
      </x:c>
      <x:c r="H18" s="8">
        <x:v>166.21</x:v>
      </x:c>
      <x:c r="I18" s="0" t="s">
        <x:v>23</x:v>
      </x:c>
      <x:c r="K18" s="8">
        <x:v>166.21</x:v>
      </x:c>
      <x:c r="L18" s="0" t="s">
        <x:v>24</x:v>
      </x:c>
      <x:c r="M18" s="0" t="s">
        <x:v>25</x:v>
      </x:c>
      <x:c r="N18" s="0" t="s">
        <x:v>26</x:v>
      </x:c>
      <x:c r="P18" s="0" t="s">
        <x:v>27</x:v>
      </x:c>
    </x:row>
    <x:row r="19" spans="1:20">
      <x:c r="A19" s="0">
        <x:v>18</x:v>
      </x:c>
      <x:c r="B19" s="0" t="s">
        <x:v>46</x:v>
      </x:c>
      <x:c r="C19" s="0" t="s">
        <x:v>21</x:v>
      </x:c>
      <x:c r="D19" s="0" t="s">
        <x:v>22</x:v>
      </x:c>
      <x:c r="E19" s="0">
        <x:v>1</x:v>
      </x:c>
      <x:c r="F19" s="0">
        <x:v>1</x:v>
      </x:c>
      <x:c r="G19" s="8">
        <x:v>180</x:v>
      </x:c>
      <x:c r="H19" s="8">
        <x:v>180</x:v>
      </x:c>
      <x:c r="I19" s="0" t="s">
        <x:v>23</x:v>
      </x:c>
      <x:c r="K19" s="8">
        <x:v>180</x:v>
      </x:c>
      <x:c r="L19" s="0" t="s">
        <x:v>24</x:v>
      </x:c>
      <x:c r="M19" s="0" t="s">
        <x:v>25</x:v>
      </x:c>
      <x:c r="N19" s="0" t="s">
        <x:v>26</x:v>
      </x:c>
      <x:c r="P19" s="0" t="s">
        <x:v>27</x:v>
      </x:c>
    </x:row>
    <x:row r="20" spans="1:20">
      <x:c r="A20" s="0">
        <x:v>19</x:v>
      </x:c>
      <x:c r="B20" s="0" t="s">
        <x:v>47</x:v>
      </x:c>
      <x:c r="C20" s="0" t="s">
        <x:v>21</x:v>
      </x:c>
      <x:c r="D20" s="0" t="s">
        <x:v>22</x:v>
      </x:c>
      <x:c r="E20" s="0">
        <x:v>1</x:v>
      </x:c>
      <x:c r="F20" s="0">
        <x:v>1</x:v>
      </x:c>
      <x:c r="G20" s="8">
        <x:v>270</x:v>
      </x:c>
      <x:c r="H20" s="8">
        <x:v>270</x:v>
      </x:c>
      <x:c r="I20" s="0" t="s">
        <x:v>23</x:v>
      </x:c>
      <x:c r="K20" s="8">
        <x:v>270</x:v>
      </x:c>
      <x:c r="L20" s="0" t="s">
        <x:v>24</x:v>
      </x:c>
      <x:c r="M20" s="0" t="s">
        <x:v>25</x:v>
      </x:c>
      <x:c r="N20" s="0" t="s">
        <x:v>26</x:v>
      </x:c>
      <x:c r="P20" s="0" t="s">
        <x:v>27</x:v>
      </x:c>
    </x:row>
    <x:row r="21" spans="1:20">
      <x:c r="A21" s="0">
        <x:v>20</x:v>
      </x:c>
      <x:c r="B21" s="0" t="s">
        <x:v>50</x:v>
      </x:c>
      <x:c r="C21" s="0" t="s">
        <x:v>21</x:v>
      </x:c>
      <x:c r="D21" s="0" t="s">
        <x:v>22</x:v>
      </x:c>
      <x:c r="E21" s="0">
        <x:v>1</x:v>
      </x:c>
      <x:c r="F21" s="0">
        <x:v>2</x:v>
      </x:c>
      <x:c r="G21" s="8">
        <x:v>180</x:v>
      </x:c>
      <x:c r="H21" s="8">
        <x:v>360</x:v>
      </x:c>
      <x:c r="I21" s="0" t="s">
        <x:v>23</x:v>
      </x:c>
      <x:c r="K21" s="8">
        <x:v>360</x:v>
      </x:c>
      <x:c r="L21" s="0" t="s">
        <x:v>24</x:v>
      </x:c>
      <x:c r="M21" s="0" t="s">
        <x:v>25</x:v>
      </x:c>
      <x:c r="N21" s="0" t="s">
        <x:v>26</x:v>
      </x:c>
      <x:c r="P21" s="0" t="s">
        <x:v>27</x:v>
      </x:c>
    </x:row>
    <x:row r="22" spans="1:20">
      <x:c r="A22" s="0">
        <x:v>21</x:v>
      </x:c>
      <x:c r="B22" s="0" t="s">
        <x:v>51</x:v>
      </x:c>
      <x:c r="C22" s="0" t="s">
        <x:v>21</x:v>
      </x:c>
      <x:c r="D22" s="0" t="s">
        <x:v>22</x:v>
      </x:c>
      <x:c r="E22" s="0">
        <x:v>1</x:v>
      </x:c>
      <x:c r="F22" s="0">
        <x:v>1</x:v>
      </x:c>
      <x:c r="G22" s="8">
        <x:v>43.24</x:v>
      </x:c>
      <x:c r="H22" s="8">
        <x:v>43.24</x:v>
      </x:c>
      <x:c r="I22" s="0" t="s">
        <x:v>23</x:v>
      </x:c>
      <x:c r="K22" s="8">
        <x:v>43.24</x:v>
      </x:c>
      <x:c r="L22" s="0" t="s">
        <x:v>24</x:v>
      </x:c>
      <x:c r="M22" s="0" t="s">
        <x:v>25</x:v>
      </x:c>
      <x:c r="N22" s="0" t="s">
        <x:v>26</x:v>
      </x:c>
      <x:c r="P22" s="0" t="s">
        <x:v>27</x:v>
      </x:c>
    </x:row>
    <x:row r="23" spans="1:20">
      <x:c r="A23" s="0">
        <x:v>22</x:v>
      </x:c>
      <x:c r="B23" s="0" t="s">
        <x:v>52</x:v>
      </x:c>
      <x:c r="C23" s="0" t="s">
        <x:v>21</x:v>
      </x:c>
      <x:c r="D23" s="0" t="s">
        <x:v>22</x:v>
      </x:c>
      <x:c r="E23" s="0">
        <x:v>1</x:v>
      </x:c>
      <x:c r="F23" s="0">
        <x:v>2</x:v>
      </x:c>
      <x:c r="G23" s="8">
        <x:v>267</x:v>
      </x:c>
      <x:c r="H23" s="8">
        <x:v>533.99</x:v>
      </x:c>
      <x:c r="I23" s="0" t="s">
        <x:v>23</x:v>
      </x:c>
      <x:c r="K23" s="8">
        <x:v>533.99</x:v>
      </x:c>
      <x:c r="L23" s="0" t="s">
        <x:v>24</x:v>
      </x:c>
      <x:c r="M23" s="0" t="s">
        <x:v>25</x:v>
      </x:c>
      <x:c r="N23" s="0" t="s">
        <x:v>26</x:v>
      </x:c>
      <x:c r="P23" s="0" t="s">
        <x:v>27</x:v>
      </x:c>
    </x:row>
    <x:row r="24" spans="1:20">
      <x:c r="A24" s="0">
        <x:v>23</x:v>
      </x:c>
      <x:c r="B24" s="0" t="s">
        <x:v>87</x:v>
      </x:c>
      <x:c r="C24" s="0" t="s">
        <x:v>21</x:v>
      </x:c>
      <x:c r="D24" s="0" t="s">
        <x:v>22</x:v>
      </x:c>
      <x:c r="E24" s="0">
        <x:v>1</x:v>
      </x:c>
      <x:c r="F24" s="0">
        <x:v>1</x:v>
      </x:c>
      <x:c r="G24" s="8">
        <x:v>150</x:v>
      </x:c>
      <x:c r="H24" s="8">
        <x:v>150</x:v>
      </x:c>
      <x:c r="I24" s="0" t="s">
        <x:v>23</x:v>
      </x:c>
      <x:c r="K24" s="8">
        <x:v>150</x:v>
      </x:c>
      <x:c r="L24" s="0" t="s">
        <x:v>24</x:v>
      </x:c>
      <x:c r="M24" s="0" t="s">
        <x:v>25</x:v>
      </x:c>
      <x:c r="N24" s="0" t="s">
        <x:v>26</x:v>
      </x:c>
      <x:c r="P24" s="0" t="s">
        <x:v>27</x:v>
      </x:c>
    </x:row>
    <x:row r="25" spans="1:20">
      <x:c r="A25" s="0">
        <x:v>24</x:v>
      </x:c>
      <x:c r="B25" s="0" t="s">
        <x:v>55</x:v>
      </x:c>
      <x:c r="C25" s="0" t="s">
        <x:v>21</x:v>
      </x:c>
      <x:c r="D25" s="0" t="s">
        <x:v>22</x:v>
      </x:c>
      <x:c r="E25" s="0">
        <x:v>1</x:v>
      </x:c>
      <x:c r="F25" s="0">
        <x:v>2</x:v>
      </x:c>
      <x:c r="G25" s="8">
        <x:v>350</x:v>
      </x:c>
      <x:c r="H25" s="8">
        <x:v>700</x:v>
      </x:c>
      <x:c r="I25" s="0" t="s">
        <x:v>23</x:v>
      </x:c>
      <x:c r="K25" s="8">
        <x:v>700</x:v>
      </x:c>
      <x:c r="L25" s="0" t="s">
        <x:v>24</x:v>
      </x:c>
      <x:c r="M25" s="0" t="s">
        <x:v>25</x:v>
      </x:c>
      <x:c r="N25" s="0" t="s">
        <x:v>26</x:v>
      </x:c>
      <x:c r="P25" s="0" t="s">
        <x:v>27</x:v>
      </x:c>
    </x:row>
    <x:row r="26" spans="1:20">
      <x:c r="A26" s="0">
        <x:v>25</x:v>
      </x:c>
      <x:c r="B26" s="0" t="s">
        <x:v>56</x:v>
      </x:c>
      <x:c r="C26" s="0" t="s">
        <x:v>21</x:v>
      </x:c>
      <x:c r="D26" s="0" t="s">
        <x:v>22</x:v>
      </x:c>
      <x:c r="E26" s="0">
        <x:v>1</x:v>
      </x:c>
      <x:c r="F26" s="0">
        <x:v>1</x:v>
      </x:c>
      <x:c r="G26" s="8">
        <x:v>252.18</x:v>
      </x:c>
      <x:c r="H26" s="8">
        <x:v>252.18</x:v>
      </x:c>
      <x:c r="I26" s="0" t="s">
        <x:v>23</x:v>
      </x:c>
      <x:c r="K26" s="8">
        <x:v>252.18</x:v>
      </x:c>
      <x:c r="L26" s="0" t="s">
        <x:v>24</x:v>
      </x:c>
      <x:c r="M26" s="0" t="s">
        <x:v>25</x:v>
      </x:c>
      <x:c r="N26" s="0" t="s">
        <x:v>26</x:v>
      </x:c>
      <x:c r="P26" s="0" t="s">
        <x:v>27</x:v>
      </x:c>
    </x:row>
    <x:row r="27" spans="1:20">
      <x:c r="A27" s="0">
        <x:v>26</x:v>
      </x:c>
      <x:c r="B27" s="0" t="s">
        <x:v>155</x:v>
      </x:c>
      <x:c r="C27" s="0" t="s">
        <x:v>21</x:v>
      </x:c>
      <x:c r="D27" s="0" t="s">
        <x:v>22</x:v>
      </x:c>
      <x:c r="E27" s="0">
        <x:v>1</x:v>
      </x:c>
      <x:c r="F27" s="0">
        <x:v>4</x:v>
      </x:c>
      <x:c r="G27" s="8">
        <x:v>122.42</x:v>
      </x:c>
      <x:c r="H27" s="8">
        <x:v>489.69</x:v>
      </x:c>
      <x:c r="I27" s="0" t="s">
        <x:v>23</x:v>
      </x:c>
      <x:c r="K27" s="8">
        <x:v>489.69</x:v>
      </x:c>
      <x:c r="L27" s="0" t="s">
        <x:v>24</x:v>
      </x:c>
      <x:c r="M27" s="0" t="s">
        <x:v>25</x:v>
      </x:c>
      <x:c r="N27" s="0" t="s">
        <x:v>26</x:v>
      </x:c>
      <x:c r="P27" s="0" t="s">
        <x:v>27</x:v>
      </x:c>
    </x:row>
    <x:row r="28" spans="1:20">
      <x:c r="A28" s="0">
        <x:v>27</x:v>
      </x:c>
      <x:c r="B28" s="0" t="s">
        <x:v>57</x:v>
      </x:c>
      <x:c r="C28" s="0" t="s">
        <x:v>21</x:v>
      </x:c>
      <x:c r="D28" s="0" t="s">
        <x:v>22</x:v>
      </x:c>
      <x:c r="E28" s="0">
        <x:v>1</x:v>
      </x:c>
      <x:c r="F28" s="0">
        <x:v>1</x:v>
      </x:c>
      <x:c r="G28" s="8">
        <x:v>150</x:v>
      </x:c>
      <x:c r="H28" s="8">
        <x:v>150</x:v>
      </x:c>
      <x:c r="I28" s="0" t="s">
        <x:v>23</x:v>
      </x:c>
      <x:c r="K28" s="8">
        <x:v>150</x:v>
      </x:c>
      <x:c r="L28" s="0" t="s">
        <x:v>24</x:v>
      </x:c>
      <x:c r="M28" s="0" t="s">
        <x:v>25</x:v>
      </x:c>
      <x:c r="N28" s="0" t="s">
        <x:v>26</x:v>
      </x:c>
      <x:c r="P28" s="0" t="s">
        <x:v>27</x:v>
      </x:c>
    </x:row>
    <x:row r="29" spans="1:20">
      <x:c r="H29" s="18">
        <x:f>SUM(H2:H28)</x:f>
      </x:c>
    </x:row>
    <x:row r="31" spans="1:20">
      <x:c r="B31" s="19" t="s">
        <x:v>163</x:v>
      </x:c>
      <x:c r="C31" s="20"/>
      <x:c r="D31" s="20"/>
      <x:c r="E31" s="20"/>
      <x:c r="F31" s="20"/>
      <x:c r="G31" s="20"/>
      <x:c r="H31" s="21">
        <x:f>SUM(H32:H34)</x:f>
      </x:c>
      <x:c r="I31" s="22" t="s">
        <x:v>164</x:v>
      </x:c>
    </x:row>
    <x:row r="32" spans="1:20">
      <x:c r="B32" s="21" t="s">
        <x:v>165</x:v>
      </x:c>
      <x:c r="C32" s="21"/>
      <x:c r="D32" s="21"/>
      <x:c r="E32" s="21"/>
      <x:c r="F32" s="20">
        <x:f>F2+F3+F4+F5+F6+F7+F14+F15+F16+F20+F23+F24+F28</x:f>
      </x:c>
      <x:c r="G32" s="20">
        <x:f>G2+G3+G4+G5+G6+G7+G14+G15+G16+G20+G23+G24+G28</x:f>
      </x:c>
      <x:c r="H32" s="20">
        <x:f>H2+H3+H4+H5+H6+H7+H14+H15+H16+H20+H23+H24+H28</x:f>
      </x:c>
      <x:c r="I32" s="15"/>
    </x:row>
    <x:row r="33" spans="1:20">
      <x:c r="B33" s="21" t="s">
        <x:v>166</x:v>
      </x:c>
      <x:c r="C33" s="21"/>
      <x:c r="D33" s="21"/>
      <x:c r="E33" s="21"/>
      <x:c r="F33" s="20">
        <x:f>F13</x:f>
      </x:c>
      <x:c r="G33" s="20">
        <x:f>G13</x:f>
      </x:c>
      <x:c r="H33" s="20">
        <x:f>H13</x:f>
      </x:c>
      <x:c r="I33" s="15"/>
    </x:row>
    <x:row r="34" spans="1:20">
      <x:c r="B34" s="21" t="s">
        <x:v>167</x:v>
      </x:c>
      <x:c r="C34" s="21"/>
      <x:c r="D34" s="21"/>
      <x:c r="E34" s="21"/>
      <x:c r="F34" s="20">
        <x:f>F8+F22</x:f>
      </x:c>
      <x:c r="G34" s="20">
        <x:f>G8+G22</x:f>
      </x:c>
      <x:c r="H34" s="20">
        <x:f>H8+H22</x:f>
      </x:c>
      <x:c r="I34" s="15"/>
    </x:row>
    <x:row r="35" spans="1:20">
      <x:c r="B35" s="19" t="s">
        <x:v>168</x:v>
      </x:c>
      <x:c r="C35" s="20"/>
      <x:c r="D35" s="20"/>
      <x:c r="E35" s="20"/>
      <x:c r="F35" s="20"/>
      <x:c r="G35" s="20"/>
      <x:c r="H35" s="21">
        <x:f>SUM(H36:H42)</x:f>
      </x:c>
      <x:c r="I35" s="22" t="s">
        <x:v>169</x:v>
      </x:c>
    </x:row>
    <x:row r="36" spans="1:20">
      <x:c r="B36" s="21" t="s">
        <x:v>170</x:v>
      </x:c>
      <x:c r="C36" s="21"/>
      <x:c r="D36" s="21"/>
      <x:c r="E36" s="21"/>
      <x:c r="F36" s="20">
        <x:f>F10+F11+F12</x:f>
      </x:c>
      <x:c r="G36" s="20">
        <x:f>G10+G11+G12</x:f>
      </x:c>
      <x:c r="H36" s="20">
        <x:f>H10+H11+H12</x:f>
      </x:c>
      <x:c r="I36" s="15"/>
    </x:row>
    <x:row r="37" spans="1:20">
      <x:c r="B37" s="21" t="s">
        <x:v>171</x:v>
      </x:c>
      <x:c r="C37" s="21"/>
      <x:c r="D37" s="21"/>
      <x:c r="E37" s="21"/>
      <x:c r="F37" s="20"/>
      <x:c r="G37" s="20"/>
      <x:c r="H37" s="20"/>
      <x:c r="I37" s="15"/>
    </x:row>
    <x:row r="38" spans="1:20">
      <x:c r="B38" s="21" t="s">
        <x:v>172</x:v>
      </x:c>
      <x:c r="C38" s="21"/>
      <x:c r="D38" s="21"/>
      <x:c r="E38" s="21"/>
      <x:c r="F38" s="20"/>
      <x:c r="G38" s="20"/>
      <x:c r="H38" s="20"/>
      <x:c r="I38" s="15"/>
    </x:row>
    <x:row r="39" spans="1:20">
      <x:c r="B39" s="21" t="s">
        <x:v>173</x:v>
      </x:c>
      <x:c r="C39" s="21"/>
      <x:c r="D39" s="21"/>
      <x:c r="E39" s="21"/>
      <x:c r="F39" s="20">
        <x:f>F9</x:f>
      </x:c>
      <x:c r="G39" s="20">
        <x:f>G9</x:f>
      </x:c>
      <x:c r="H39" s="20">
        <x:f>H9</x:f>
      </x:c>
      <x:c r="I39" s="15"/>
    </x:row>
    <x:row r="40" spans="1:20">
      <x:c r="B40" s="21" t="s">
        <x:v>174</x:v>
      </x:c>
      <x:c r="C40" s="21"/>
      <x:c r="D40" s="21"/>
      <x:c r="E40" s="21"/>
      <x:c r="F40" s="20"/>
      <x:c r="G40" s="20"/>
      <x:c r="H40" s="20"/>
      <x:c r="I40" s="15"/>
    </x:row>
    <x:row r="41" spans="1:20">
      <x:c r="B41" s="21" t="s">
        <x:v>70</x:v>
      </x:c>
      <x:c r="C41" s="21"/>
      <x:c r="D41" s="21"/>
      <x:c r="E41" s="21"/>
      <x:c r="F41" s="20"/>
      <x:c r="G41" s="20"/>
      <x:c r="H41" s="20"/>
      <x:c r="I41" s="15"/>
    </x:row>
    <x:row r="42" spans="1:20">
      <x:c r="B42" s="21" t="s">
        <x:v>175</x:v>
      </x:c>
      <x:c r="C42" s="21"/>
      <x:c r="D42" s="21"/>
      <x:c r="E42" s="21"/>
      <x:c r="F42" s="20"/>
      <x:c r="G42" s="20"/>
      <x:c r="H42" s="20"/>
      <x:c r="I42" s="15"/>
    </x:row>
    <x:row r="43" spans="1:20">
      <x:c r="B43" s="19" t="s">
        <x:v>176</x:v>
      </x:c>
      <x:c r="C43" s="20"/>
      <x:c r="D43" s="20"/>
      <x:c r="E43" s="20"/>
      <x:c r="F43" s="20"/>
      <x:c r="G43" s="20"/>
      <x:c r="H43" s="21">
        <x:f>SUM(H44:H49)</x:f>
      </x:c>
      <x:c r="I43" s="22" t="s">
        <x:v>177</x:v>
      </x:c>
    </x:row>
    <x:row r="44" spans="1:20">
      <x:c r="B44" s="21" t="s">
        <x:v>178</x:v>
      </x:c>
      <x:c r="C44" s="21"/>
      <x:c r="D44" s="21"/>
      <x:c r="E44" s="21"/>
      <x:c r="F44" s="20"/>
      <x:c r="G44" s="20"/>
      <x:c r="H44" s="20"/>
      <x:c r="I44" s="15"/>
    </x:row>
    <x:row r="45" spans="1:20">
      <x:c r="B45" s="21" t="s">
        <x:v>179</x:v>
      </x:c>
      <x:c r="C45" s="21"/>
      <x:c r="D45" s="21"/>
      <x:c r="E45" s="21"/>
      <x:c r="F45" s="20">
        <x:f>F25</x:f>
      </x:c>
      <x:c r="G45" s="20">
        <x:f>G25</x:f>
      </x:c>
      <x:c r="H45" s="20">
        <x:f>H25</x:f>
      </x:c>
      <x:c r="I45" s="15"/>
    </x:row>
    <x:row r="46" spans="1:20">
      <x:c r="B46" s="21" t="s">
        <x:v>54</x:v>
      </x:c>
      <x:c r="C46" s="21"/>
      <x:c r="D46" s="21"/>
      <x:c r="E46" s="21"/>
      <x:c r="F46" s="20"/>
      <x:c r="G46" s="20"/>
      <x:c r="H46" s="20"/>
      <x:c r="I46" s="15"/>
    </x:row>
    <x:row r="47" spans="1:20">
      <x:c r="B47" s="21" t="s">
        <x:v>180</x:v>
      </x:c>
      <x:c r="C47" s="21"/>
      <x:c r="D47" s="21"/>
      <x:c r="E47" s="21"/>
      <x:c r="F47" s="20">
        <x:f>F17+F26</x:f>
      </x:c>
      <x:c r="G47" s="20">
        <x:f>G17+G26</x:f>
      </x:c>
      <x:c r="H47" s="20">
        <x:f>H17+H26</x:f>
      </x:c>
      <x:c r="I47" s="15"/>
    </x:row>
    <x:row r="48" spans="1:20">
      <x:c r="B48" s="21" t="s">
        <x:v>181</x:v>
      </x:c>
      <x:c r="C48" s="21"/>
      <x:c r="D48" s="21"/>
      <x:c r="E48" s="21"/>
      <x:c r="F48" s="20">
        <x:f>F19+F21+F27</x:f>
      </x:c>
      <x:c r="G48" s="20">
        <x:f>G19+G21+G27</x:f>
      </x:c>
      <x:c r="H48" s="20">
        <x:f>H19+H21+H27</x:f>
      </x:c>
      <x:c r="I48" s="15"/>
    </x:row>
    <x:row r="49" spans="1:20">
      <x:c r="B49" s="21" t="s">
        <x:v>182</x:v>
      </x:c>
      <x:c r="C49" s="21"/>
      <x:c r="D49" s="21"/>
      <x:c r="E49" s="21"/>
      <x:c r="F49" s="20">
        <x:f>F18</x:f>
      </x:c>
      <x:c r="G49" s="20">
        <x:f>G18</x:f>
      </x:c>
      <x:c r="H49" s="20">
        <x:f>H18</x:f>
      </x:c>
      <x:c r="I49" s="15"/>
    </x:row>
    <x:row r="50" spans="1:20">
      <x:c r="B50" s="19" t="s">
        <x:v>183</x:v>
      </x:c>
      <x:c r="C50" s="20"/>
      <x:c r="D50" s="20"/>
      <x:c r="E50" s="20"/>
      <x:c r="F50" s="20"/>
      <x:c r="G50" s="20"/>
      <x:c r="H50" s="21">
        <x:f>SUM(H51:H52)</x:f>
      </x:c>
      <x:c r="I50" s="22"/>
    </x:row>
    <x:row r="51" spans="1:20">
      <x:c r="B51" s="21" t="s">
        <x:v>184</x:v>
      </x:c>
      <x:c r="C51" s="21"/>
      <x:c r="D51" s="21"/>
      <x:c r="E51" s="21"/>
      <x:c r="F51" s="20"/>
      <x:c r="G51" s="20"/>
      <x:c r="H51" s="20"/>
      <x:c r="I51" s="15"/>
    </x:row>
    <x:row r="52" spans="1:20">
      <x:c r="B52" s="21" t="s">
        <x:v>185</x:v>
      </x:c>
      <x:c r="C52" s="21"/>
      <x:c r="D52" s="21"/>
      <x:c r="E52" s="21"/>
      <x:c r="F52" s="20"/>
      <x:c r="G52" s="20"/>
      <x:c r="H52" s="20"/>
      <x:c r="I52" s="15"/>
    </x:row>
    <x:row r="53" spans="1:20">
      <x:c r="B53" s="22"/>
      <x:c r="C53" s="22"/>
      <x:c r="D53" s="22"/>
      <x:c r="E53" s="22"/>
      <x:c r="F53" s="15"/>
      <x:c r="G53" s="15"/>
      <x:c r="H53" s="22">
        <x:f>H31+H35+H43+H50</x:f>
      </x:c>
      <x:c r="I53" s="15"/>
    </x:row>
    <x:row r="54" spans="1:20">
      <x:c r="H54" s="17">
        <x:f>H53 - H29</x:f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F87D7A7-8D73-6F4A-8F17-D57EFB56C9E2}" mc:Ignorable="x14ac xr xr2 xr3">
  <x:sheetPr>
    <x:outlinePr summaryBelow="1" summaryRight="1"/>
  </x:sheetPr>
  <x:dimension ref="A1:T34"/>
  <x:sheetViews>
    <x:sheetView topLeftCell="A16" workbookViewId="0"/>
  </x:sheetViews>
  <x:sheetFormatPr defaultColWidth="11.085625" defaultRowHeight="15.75"/>
  <x:sheetData>
    <x:row r="1" spans="1:2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</x:row>
    <x:row r="2" spans="1:20">
      <x:c r="A2" s="0">
        <x:v>1</x:v>
      </x:c>
      <x:c r="B2" s="0" t="s">
        <x:v>91</x:v>
      </x:c>
      <x:c r="C2" s="0" t="s">
        <x:v>21</x:v>
      </x:c>
      <x:c r="D2" s="0" t="s">
        <x:v>22</x:v>
      </x:c>
      <x:c r="E2" s="0">
        <x:v>1</x:v>
      </x:c>
      <x:c r="F2" s="0">
        <x:v>1</x:v>
      </x:c>
      <x:c r="G2" s="8">
        <x:v>350</x:v>
      </x:c>
      <x:c r="H2" s="8">
        <x:v>350</x:v>
      </x:c>
      <x:c r="I2" s="0" t="s">
        <x:v>23</x:v>
      </x:c>
      <x:c r="K2" s="8">
        <x:v>350</x:v>
      </x:c>
      <x:c r="L2" s="0" t="s">
        <x:v>24</x:v>
      </x:c>
      <x:c r="M2" s="0" t="s">
        <x:v>25</x:v>
      </x:c>
      <x:c r="N2" s="0" t="s">
        <x:v>26</x:v>
      </x:c>
      <x:c r="P2" s="0" t="s">
        <x:v>27</x:v>
      </x:c>
    </x:row>
    <x:row r="3" spans="1:20">
      <x:c r="A3" s="0">
        <x:v>2</x:v>
      </x:c>
      <x:c r="B3" s="0" t="s">
        <x:v>20</x:v>
      </x:c>
      <x:c r="C3" s="0" t="s">
        <x:v>21</x:v>
      </x:c>
      <x:c r="D3" s="0" t="s">
        <x:v>22</x:v>
      </x:c>
      <x:c r="E3" s="0">
        <x:v>1</x:v>
      </x:c>
      <x:c r="F3" s="0">
        <x:v>1</x:v>
      </x:c>
      <x:c r="G3" s="8">
        <x:v>150</x:v>
      </x:c>
      <x:c r="H3" s="8">
        <x:v>150</x:v>
      </x:c>
      <x:c r="I3" s="0" t="s">
        <x:v>23</x:v>
      </x:c>
      <x:c r="K3" s="8">
        <x:v>150</x:v>
      </x:c>
      <x:c r="L3" s="0" t="s">
        <x:v>24</x:v>
      </x:c>
      <x:c r="M3" s="0" t="s">
        <x:v>25</x:v>
      </x:c>
      <x:c r="N3" s="0" t="s">
        <x:v>26</x:v>
      </x:c>
      <x:c r="P3" s="0" t="s">
        <x:v>27</x:v>
      </x:c>
    </x:row>
    <x:row r="4" spans="1:20">
      <x:c r="A4" s="0">
        <x:v>3</x:v>
      </x:c>
      <x:c r="B4" s="0" t="s">
        <x:v>29</x:v>
      </x:c>
      <x:c r="C4" s="0" t="s">
        <x:v>21</x:v>
      </x:c>
      <x:c r="D4" s="0" t="s">
        <x:v>22</x:v>
      </x:c>
      <x:c r="E4" s="0">
        <x:v>1</x:v>
      </x:c>
      <x:c r="F4" s="0">
        <x:v>3</x:v>
      </x:c>
      <x:c r="G4" s="8">
        <x:v>241.67</x:v>
      </x:c>
      <x:c r="H4" s="8">
        <x:v>725</x:v>
      </x:c>
      <x:c r="I4" s="0" t="s">
        <x:v>23</x:v>
      </x:c>
      <x:c r="K4" s="8">
        <x:v>725</x:v>
      </x:c>
      <x:c r="L4" s="0" t="s">
        <x:v>24</x:v>
      </x:c>
      <x:c r="M4" s="0" t="s">
        <x:v>25</x:v>
      </x:c>
      <x:c r="N4" s="0" t="s">
        <x:v>26</x:v>
      </x:c>
      <x:c r="P4" s="0" t="s">
        <x:v>27</x:v>
      </x:c>
    </x:row>
    <x:row r="5" spans="1:20">
      <x:c r="A5" s="0">
        <x:v>4</x:v>
      </x:c>
      <x:c r="B5" s="0" t="s">
        <x:v>30</x:v>
      </x:c>
      <x:c r="C5" s="0" t="s">
        <x:v>21</x:v>
      </x:c>
      <x:c r="D5" s="0" t="s">
        <x:v>22</x:v>
      </x:c>
      <x:c r="E5" s="0">
        <x:v>1</x:v>
      </x:c>
      <x:c r="F5" s="0">
        <x:v>7</x:v>
      </x:c>
      <x:c r="G5" s="8">
        <x:v>285.76</x:v>
      </x:c>
      <x:c r="H5" s="8">
        <x:v>2000.31</x:v>
      </x:c>
      <x:c r="I5" s="0" t="s">
        <x:v>23</x:v>
      </x:c>
      <x:c r="K5" s="8">
        <x:v>2000.31</x:v>
      </x:c>
      <x:c r="L5" s="0" t="s">
        <x:v>24</x:v>
      </x:c>
      <x:c r="M5" s="0" t="s">
        <x:v>25</x:v>
      </x:c>
      <x:c r="N5" s="0" t="s">
        <x:v>26</x:v>
      </x:c>
      <x:c r="P5" s="0" t="s">
        <x:v>27</x:v>
      </x:c>
    </x:row>
    <x:row r="6" spans="1:20">
      <x:c r="A6" s="0">
        <x:v>5</x:v>
      </x:c>
      <x:c r="B6" s="0" t="s">
        <x:v>31</x:v>
      </x:c>
      <x:c r="C6" s="0" t="s">
        <x:v>21</x:v>
      </x:c>
      <x:c r="D6" s="0" t="s">
        <x:v>22</x:v>
      </x:c>
      <x:c r="E6" s="0">
        <x:v>1</x:v>
      </x:c>
      <x:c r="F6" s="0">
        <x:v>1</x:v>
      </x:c>
      <x:c r="G6" s="8">
        <x:v>90</x:v>
      </x:c>
      <x:c r="H6" s="8">
        <x:v>90</x:v>
      </x:c>
      <x:c r="I6" s="0" t="s">
        <x:v>23</x:v>
      </x:c>
      <x:c r="K6" s="8">
        <x:v>90</x:v>
      </x:c>
      <x:c r="L6" s="0" t="s">
        <x:v>24</x:v>
      </x:c>
      <x:c r="M6" s="0" t="s">
        <x:v>25</x:v>
      </x:c>
      <x:c r="N6" s="0" t="s">
        <x:v>26</x:v>
      </x:c>
      <x:c r="P6" s="0" t="s">
        <x:v>27</x:v>
      </x:c>
    </x:row>
    <x:row r="7" spans="1:20">
      <x:c r="A7" s="0">
        <x:v>6</x:v>
      </x:c>
      <x:c r="B7" s="0" t="s">
        <x:v>78</x:v>
      </x:c>
      <x:c r="C7" s="0" t="s">
        <x:v>21</x:v>
      </x:c>
      <x:c r="D7" s="0" t="s">
        <x:v>34</x:v>
      </x:c>
      <x:c r="E7" s="0">
        <x:v>1</x:v>
      </x:c>
      <x:c r="F7" s="0">
        <x:v>0.2</x:v>
      </x:c>
      <x:c r="G7" s="8">
        <x:v>3380</x:v>
      </x:c>
      <x:c r="H7" s="8">
        <x:v>676</x:v>
      </x:c>
      <x:c r="I7" s="0" t="s">
        <x:v>23</x:v>
      </x:c>
      <x:c r="K7" s="8">
        <x:v>676</x:v>
      </x:c>
      <x:c r="L7" s="0" t="s">
        <x:v>24</x:v>
      </x:c>
      <x:c r="M7" s="0" t="s">
        <x:v>25</x:v>
      </x:c>
      <x:c r="N7" s="0" t="s">
        <x:v>26</x:v>
      </x:c>
      <x:c r="P7" s="0" t="s">
        <x:v>27</x:v>
      </x:c>
    </x:row>
    <x:row r="8" spans="1:20">
      <x:c r="A8" s="0">
        <x:v>7</x:v>
      </x:c>
      <x:c r="B8" s="0" t="s">
        <x:v>79</x:v>
      </x:c>
      <x:c r="C8" s="0" t="s">
        <x:v>21</x:v>
      </x:c>
      <x:c r="D8" s="0" t="s">
        <x:v>34</x:v>
      </x:c>
      <x:c r="E8" s="0">
        <x:v>1</x:v>
      </x:c>
      <x:c r="F8" s="0">
        <x:v>2</x:v>
      </x:c>
      <x:c r="G8" s="8">
        <x:v>2180</x:v>
      </x:c>
      <x:c r="H8" s="8">
        <x:v>4360</x:v>
      </x:c>
      <x:c r="I8" s="0" t="s">
        <x:v>23</x:v>
      </x:c>
      <x:c r="K8" s="8">
        <x:v>4360</x:v>
      </x:c>
      <x:c r="L8" s="0" t="s">
        <x:v>24</x:v>
      </x:c>
      <x:c r="M8" s="0" t="s">
        <x:v>25</x:v>
      </x:c>
      <x:c r="N8" s="0" t="s">
        <x:v>26</x:v>
      </x:c>
      <x:c r="P8" s="0" t="s">
        <x:v>27</x:v>
      </x:c>
    </x:row>
    <x:row r="9" spans="1:20">
      <x:c r="A9" s="0">
        <x:v>8</x:v>
      </x:c>
      <x:c r="B9" s="0" t="s">
        <x:v>92</x:v>
      </x:c>
      <x:c r="C9" s="0" t="s">
        <x:v>21</x:v>
      </x:c>
      <x:c r="D9" s="0" t="s">
        <x:v>34</x:v>
      </x:c>
      <x:c r="E9" s="0">
        <x:v>1</x:v>
      </x:c>
      <x:c r="F9" s="0">
        <x:v>0.2</x:v>
      </x:c>
      <x:c r="G9" s="8">
        <x:v>3180</x:v>
      </x:c>
      <x:c r="H9" s="8">
        <x:v>636</x:v>
      </x:c>
      <x:c r="I9" s="0" t="s">
        <x:v>23</x:v>
      </x:c>
      <x:c r="K9" s="8">
        <x:v>636</x:v>
      </x:c>
      <x:c r="L9" s="0" t="s">
        <x:v>24</x:v>
      </x:c>
      <x:c r="M9" s="0" t="s">
        <x:v>25</x:v>
      </x:c>
      <x:c r="N9" s="0" t="s">
        <x:v>26</x:v>
      </x:c>
      <x:c r="P9" s="0" t="s">
        <x:v>27</x:v>
      </x:c>
    </x:row>
    <x:row r="10" spans="1:20">
      <x:c r="A10" s="0">
        <x:v>9</x:v>
      </x:c>
      <x:c r="B10" s="0" t="s">
        <x:v>63</x:v>
      </x:c>
      <x:c r="C10" s="0" t="s">
        <x:v>21</x:v>
      </x:c>
      <x:c r="D10" s="0" t="s">
        <x:v>34</x:v>
      </x:c>
      <x:c r="E10" s="0">
        <x:v>1</x:v>
      </x:c>
      <x:c r="F10" s="0">
        <x:v>0.2</x:v>
      </x:c>
      <x:c r="G10" s="8">
        <x:v>6580</x:v>
      </x:c>
      <x:c r="H10" s="8">
        <x:v>1316</x:v>
      </x:c>
      <x:c r="I10" s="0" t="s">
        <x:v>23</x:v>
      </x:c>
      <x:c r="K10" s="8">
        <x:v>1316</x:v>
      </x:c>
      <x:c r="L10" s="0" t="s">
        <x:v>24</x:v>
      </x:c>
      <x:c r="M10" s="0" t="s">
        <x:v>25</x:v>
      </x:c>
      <x:c r="N10" s="0" t="s">
        <x:v>26</x:v>
      </x:c>
      <x:c r="P10" s="0" t="s">
        <x:v>27</x:v>
      </x:c>
    </x:row>
    <x:row r="11" spans="1:20">
      <x:c r="A11" s="0">
        <x:v>10</x:v>
      </x:c>
      <x:c r="B11" s="0" t="s">
        <x:v>82</x:v>
      </x:c>
      <x:c r="C11" s="0" t="s">
        <x:v>21</x:v>
      </x:c>
      <x:c r="D11" s="0" t="s">
        <x:v>34</x:v>
      </x:c>
      <x:c r="E11" s="0">
        <x:v>1</x:v>
      </x:c>
      <x:c r="F11" s="0">
        <x:v>0.1</x:v>
      </x:c>
      <x:c r="G11" s="8">
        <x:v>4980</x:v>
      </x:c>
      <x:c r="H11" s="8">
        <x:v>498</x:v>
      </x:c>
      <x:c r="I11" s="0" t="s">
        <x:v>23</x:v>
      </x:c>
      <x:c r="K11" s="8">
        <x:v>498</x:v>
      </x:c>
      <x:c r="L11" s="0" t="s">
        <x:v>24</x:v>
      </x:c>
      <x:c r="M11" s="0" t="s">
        <x:v>25</x:v>
      </x:c>
      <x:c r="N11" s="0" t="s">
        <x:v>26</x:v>
      </x:c>
      <x:c r="P11" s="0" t="s">
        <x:v>27</x:v>
      </x:c>
    </x:row>
    <x:row r="12" spans="1:20">
      <x:c r="A12" s="0">
        <x:v>11</x:v>
      </x:c>
      <x:c r="B12" s="0" t="s">
        <x:v>93</x:v>
      </x:c>
      <x:c r="C12" s="0" t="s">
        <x:v>21</x:v>
      </x:c>
      <x:c r="D12" s="0" t="s">
        <x:v>34</x:v>
      </x:c>
      <x:c r="E12" s="0">
        <x:v>1</x:v>
      </x:c>
      <x:c r="F12" s="0">
        <x:v>0.2</x:v>
      </x:c>
      <x:c r="G12" s="8">
        <x:v>3480</x:v>
      </x:c>
      <x:c r="H12" s="8">
        <x:v>696</x:v>
      </x:c>
      <x:c r="I12" s="0" t="s">
        <x:v>23</x:v>
      </x:c>
      <x:c r="K12" s="8">
        <x:v>696</x:v>
      </x:c>
      <x:c r="L12" s="0" t="s">
        <x:v>24</x:v>
      </x:c>
      <x:c r="M12" s="0" t="s">
        <x:v>25</x:v>
      </x:c>
      <x:c r="N12" s="0" t="s">
        <x:v>26</x:v>
      </x:c>
      <x:c r="P12" s="0" t="s">
        <x:v>27</x:v>
      </x:c>
    </x:row>
    <x:row r="13" spans="1:20">
      <x:c r="A13" s="0">
        <x:v>12</x:v>
      </x:c>
      <x:c r="B13" s="0" t="s">
        <x:v>66</x:v>
      </x:c>
      <x:c r="C13" s="0" t="s">
        <x:v>21</x:v>
      </x:c>
      <x:c r="D13" s="0" t="s">
        <x:v>34</x:v>
      </x:c>
      <x:c r="E13" s="0">
        <x:v>1</x:v>
      </x:c>
      <x:c r="F13" s="0">
        <x:v>0.2</x:v>
      </x:c>
      <x:c r="G13" s="8">
        <x:v>4680</x:v>
      </x:c>
      <x:c r="H13" s="8">
        <x:v>936</x:v>
      </x:c>
      <x:c r="I13" s="0" t="s">
        <x:v>23</x:v>
      </x:c>
      <x:c r="K13" s="8">
        <x:v>936</x:v>
      </x:c>
      <x:c r="L13" s="0" t="s">
        <x:v>24</x:v>
      </x:c>
      <x:c r="M13" s="0" t="s">
        <x:v>25</x:v>
      </x:c>
      <x:c r="N13" s="0" t="s">
        <x:v>26</x:v>
      </x:c>
      <x:c r="P13" s="0" t="s">
        <x:v>27</x:v>
      </x:c>
    </x:row>
    <x:row r="14" spans="1:20">
      <x:c r="A14" s="0">
        <x:v>13</x:v>
      </x:c>
      <x:c r="B14" s="0" t="s">
        <x:v>114</x:v>
      </x:c>
      <x:c r="C14" s="0" t="s">
        <x:v>21</x:v>
      </x:c>
      <x:c r="D14" s="0" t="s">
        <x:v>34</x:v>
      </x:c>
      <x:c r="E14" s="0">
        <x:v>1</x:v>
      </x:c>
      <x:c r="F14" s="0">
        <x:v>0.435</x:v>
      </x:c>
      <x:c r="G14" s="8">
        <x:v>2380</x:v>
      </x:c>
      <x:c r="H14" s="8">
        <x:v>1035.3</x:v>
      </x:c>
      <x:c r="I14" s="0" t="s">
        <x:v>23</x:v>
      </x:c>
      <x:c r="K14" s="8">
        <x:v>1035.3</x:v>
      </x:c>
      <x:c r="L14" s="0" t="s">
        <x:v>24</x:v>
      </x:c>
      <x:c r="M14" s="0" t="s">
        <x:v>25</x:v>
      </x:c>
      <x:c r="N14" s="0" t="s">
        <x:v>26</x:v>
      </x:c>
      <x:c r="P14" s="0" t="s">
        <x:v>27</x:v>
      </x:c>
    </x:row>
    <x:row r="15" spans="1:20">
      <x:c r="A15" s="0">
        <x:v>14</x:v>
      </x:c>
      <x:c r="B15" s="0" t="s">
        <x:v>70</x:v>
      </x:c>
      <x:c r="C15" s="0" t="s">
        <x:v>21</x:v>
      </x:c>
      <x:c r="D15" s="0" t="s">
        <x:v>22</x:v>
      </x:c>
      <x:c r="E15" s="0">
        <x:v>1</x:v>
      </x:c>
      <x:c r="F15" s="0">
        <x:v>2</x:v>
      </x:c>
      <x:c r="G15" s="8">
        <x:v>250</x:v>
      </x:c>
      <x:c r="H15" s="8">
        <x:v>500</x:v>
      </x:c>
      <x:c r="I15" s="0" t="s">
        <x:v>23</x:v>
      </x:c>
      <x:c r="K15" s="8">
        <x:v>500</x:v>
      </x:c>
      <x:c r="L15" s="0" t="s">
        <x:v>24</x:v>
      </x:c>
      <x:c r="M15" s="0" t="s">
        <x:v>25</x:v>
      </x:c>
      <x:c r="N15" s="0" t="s">
        <x:v>26</x:v>
      </x:c>
      <x:c r="P15" s="0" t="s">
        <x:v>27</x:v>
      </x:c>
    </x:row>
    <x:row r="16" spans="1:20">
      <x:c r="A16" s="0">
        <x:v>15</x:v>
      </x:c>
      <x:c r="B16" s="0" t="s">
        <x:v>39</x:v>
      </x:c>
      <x:c r="C16" s="0" t="s">
        <x:v>21</x:v>
      </x:c>
      <x:c r="D16" s="0" t="s">
        <x:v>22</x:v>
      </x:c>
      <x:c r="E16" s="0">
        <x:v>1</x:v>
      </x:c>
      <x:c r="F16" s="0">
        <x:v>4</x:v>
      </x:c>
      <x:c r="G16" s="8">
        <x:v>240.63</x:v>
      </x:c>
      <x:c r="H16" s="8">
        <x:v>962.5</x:v>
      </x:c>
      <x:c r="I16" s="0" t="s">
        <x:v>23</x:v>
      </x:c>
      <x:c r="K16" s="8">
        <x:v>962.5</x:v>
      </x:c>
      <x:c r="L16" s="0" t="s">
        <x:v>24</x:v>
      </x:c>
      <x:c r="M16" s="0" t="s">
        <x:v>25</x:v>
      </x:c>
      <x:c r="N16" s="0" t="s">
        <x:v>26</x:v>
      </x:c>
      <x:c r="P16" s="0" t="s">
        <x:v>27</x:v>
      </x:c>
    </x:row>
    <x:row r="17" spans="1:20">
      <x:c r="A17" s="0">
        <x:v>16</x:v>
      </x:c>
      <x:c r="B17" s="0" t="s">
        <x:v>40</x:v>
      </x:c>
      <x:c r="C17" s="0" t="s">
        <x:v>21</x:v>
      </x:c>
      <x:c r="D17" s="0" t="s">
        <x:v>22</x:v>
      </x:c>
      <x:c r="E17" s="0">
        <x:v>1</x:v>
      </x:c>
      <x:c r="F17" s="0">
        <x:v>2</x:v>
      </x:c>
      <x:c r="G17" s="8">
        <x:v>400</x:v>
      </x:c>
      <x:c r="H17" s="8">
        <x:v>800</x:v>
      </x:c>
      <x:c r="I17" s="0" t="s">
        <x:v>23</x:v>
      </x:c>
      <x:c r="K17" s="8">
        <x:v>800</x:v>
      </x:c>
      <x:c r="L17" s="0" t="s">
        <x:v>24</x:v>
      </x:c>
      <x:c r="M17" s="0" t="s">
        <x:v>25</x:v>
      </x:c>
      <x:c r="N17" s="0" t="s">
        <x:v>26</x:v>
      </x:c>
      <x:c r="P17" s="0" t="s">
        <x:v>27</x:v>
      </x:c>
    </x:row>
    <x:row r="18" spans="1:20">
      <x:c r="A18" s="0">
        <x:v>17</x:v>
      </x:c>
      <x:c r="B18" s="0" t="s">
        <x:v>149</x:v>
      </x:c>
      <x:c r="C18" s="0" t="s">
        <x:v>21</x:v>
      </x:c>
      <x:c r="D18" s="0" t="s">
        <x:v>34</x:v>
      </x:c>
      <x:c r="E18" s="0">
        <x:v>1</x:v>
      </x:c>
      <x:c r="F18" s="0">
        <x:v>0.1</x:v>
      </x:c>
      <x:c r="G18" s="8">
        <x:v>3000</x:v>
      </x:c>
      <x:c r="H18" s="8">
        <x:v>300</x:v>
      </x:c>
      <x:c r="I18" s="0" t="s">
        <x:v>23</x:v>
      </x:c>
      <x:c r="K18" s="8">
        <x:v>300</x:v>
      </x:c>
      <x:c r="L18" s="0" t="s">
        <x:v>24</x:v>
      </x:c>
      <x:c r="M18" s="0" t="s">
        <x:v>25</x:v>
      </x:c>
      <x:c r="N18" s="0" t="s">
        <x:v>26</x:v>
      </x:c>
      <x:c r="P18" s="0" t="s">
        <x:v>27</x:v>
      </x:c>
    </x:row>
    <x:row r="19" spans="1:20">
      <x:c r="A19" s="0">
        <x:v>18</x:v>
      </x:c>
      <x:c r="B19" s="0" t="s">
        <x:v>44</x:v>
      </x:c>
      <x:c r="C19" s="0" t="s">
        <x:v>21</x:v>
      </x:c>
      <x:c r="D19" s="0" t="s">
        <x:v>22</x:v>
      </x:c>
      <x:c r="E19" s="0">
        <x:v>1</x:v>
      </x:c>
      <x:c r="F19" s="0">
        <x:v>2</x:v>
      </x:c>
      <x:c r="G19" s="8">
        <x:v>85</x:v>
      </x:c>
      <x:c r="H19" s="8">
        <x:v>170</x:v>
      </x:c>
      <x:c r="I19" s="0" t="s">
        <x:v>23</x:v>
      </x:c>
      <x:c r="K19" s="8">
        <x:v>170</x:v>
      </x:c>
      <x:c r="L19" s="0" t="s">
        <x:v>24</x:v>
      </x:c>
      <x:c r="M19" s="0" t="s">
        <x:v>25</x:v>
      </x:c>
      <x:c r="N19" s="0" t="s">
        <x:v>26</x:v>
      </x:c>
      <x:c r="P19" s="0" t="s">
        <x:v>27</x:v>
      </x:c>
    </x:row>
    <x:row r="20" spans="1:20">
      <x:c r="A20" s="0">
        <x:v>19</x:v>
      </x:c>
      <x:c r="B20" s="0" t="s">
        <x:v>46</x:v>
      </x:c>
      <x:c r="C20" s="0" t="s">
        <x:v>21</x:v>
      </x:c>
      <x:c r="D20" s="0" t="s">
        <x:v>22</x:v>
      </x:c>
      <x:c r="E20" s="0">
        <x:v>1</x:v>
      </x:c>
      <x:c r="F20" s="0">
        <x:v>3</x:v>
      </x:c>
      <x:c r="G20" s="8">
        <x:v>90</x:v>
      </x:c>
      <x:c r="H20" s="8">
        <x:v>270</x:v>
      </x:c>
      <x:c r="I20" s="0" t="s">
        <x:v>23</x:v>
      </x:c>
      <x:c r="K20" s="8">
        <x:v>270</x:v>
      </x:c>
      <x:c r="L20" s="0" t="s">
        <x:v>24</x:v>
      </x:c>
      <x:c r="M20" s="0" t="s">
        <x:v>25</x:v>
      </x:c>
      <x:c r="N20" s="0" t="s">
        <x:v>26</x:v>
      </x:c>
      <x:c r="P20" s="0" t="s">
        <x:v>27</x:v>
      </x:c>
    </x:row>
    <x:row r="21" spans="1:20">
      <x:c r="A21" s="0">
        <x:v>20</x:v>
      </x:c>
      <x:c r="B21" s="0" t="s">
        <x:v>47</x:v>
      </x:c>
      <x:c r="C21" s="0" t="s">
        <x:v>21</x:v>
      </x:c>
      <x:c r="D21" s="0" t="s">
        <x:v>22</x:v>
      </x:c>
      <x:c r="E21" s="0">
        <x:v>1</x:v>
      </x:c>
      <x:c r="F21" s="0">
        <x:v>10</x:v>
      </x:c>
      <x:c r="G21" s="8">
        <x:v>258.54</x:v>
      </x:c>
      <x:c r="H21" s="8">
        <x:v>2585.41</x:v>
      </x:c>
      <x:c r="I21" s="0" t="s">
        <x:v>23</x:v>
      </x:c>
      <x:c r="K21" s="8">
        <x:v>2585.41</x:v>
      </x:c>
      <x:c r="L21" s="0" t="s">
        <x:v>24</x:v>
      </x:c>
      <x:c r="M21" s="0" t="s">
        <x:v>25</x:v>
      </x:c>
      <x:c r="N21" s="0" t="s">
        <x:v>26</x:v>
      </x:c>
      <x:c r="P21" s="0" t="s">
        <x:v>27</x:v>
      </x:c>
    </x:row>
    <x:row r="22" spans="1:20">
      <x:c r="A22" s="0">
        <x:v>21</x:v>
      </x:c>
      <x:c r="B22" s="0" t="s">
        <x:v>104</x:v>
      </x:c>
      <x:c r="C22" s="0" t="s">
        <x:v>21</x:v>
      </x:c>
      <x:c r="D22" s="0" t="s">
        <x:v>34</x:v>
      </x:c>
      <x:c r="E22" s="0">
        <x:v>1</x:v>
      </x:c>
      <x:c r="F22" s="0">
        <x:v>0.1</x:v>
      </x:c>
      <x:c r="G22" s="8">
        <x:v>3400</x:v>
      </x:c>
      <x:c r="H22" s="8">
        <x:v>340</x:v>
      </x:c>
      <x:c r="I22" s="0" t="s">
        <x:v>23</x:v>
      </x:c>
      <x:c r="K22" s="8">
        <x:v>340</x:v>
      </x:c>
      <x:c r="L22" s="0" t="s">
        <x:v>24</x:v>
      </x:c>
      <x:c r="M22" s="0" t="s">
        <x:v>25</x:v>
      </x:c>
      <x:c r="N22" s="0" t="s">
        <x:v>26</x:v>
      </x:c>
      <x:c r="P22" s="0" t="s">
        <x:v>27</x:v>
      </x:c>
    </x:row>
    <x:row r="23" spans="1:20">
      <x:c r="A23" s="0">
        <x:v>22</x:v>
      </x:c>
      <x:c r="B23" s="0" t="s">
        <x:v>71</x:v>
      </x:c>
      <x:c r="C23" s="0" t="s">
        <x:v>21</x:v>
      </x:c>
      <x:c r="D23" s="0" t="s">
        <x:v>22</x:v>
      </x:c>
      <x:c r="E23" s="0">
        <x:v>1</x:v>
      </x:c>
      <x:c r="F23" s="0">
        <x:v>2</x:v>
      </x:c>
      <x:c r="G23" s="8">
        <x:v>150</x:v>
      </x:c>
      <x:c r="H23" s="8">
        <x:v>300</x:v>
      </x:c>
      <x:c r="I23" s="0" t="s">
        <x:v>23</x:v>
      </x:c>
      <x:c r="K23" s="8">
        <x:v>300</x:v>
      </x:c>
      <x:c r="L23" s="0" t="s">
        <x:v>24</x:v>
      </x:c>
      <x:c r="M23" s="0" t="s">
        <x:v>25</x:v>
      </x:c>
      <x:c r="N23" s="0" t="s">
        <x:v>26</x:v>
      </x:c>
      <x:c r="P23" s="0" t="s">
        <x:v>27</x:v>
      </x:c>
    </x:row>
    <x:row r="24" spans="1:20">
      <x:c r="A24" s="0">
        <x:v>23</x:v>
      </x:c>
      <x:c r="B24" s="0" t="s">
        <x:v>96</x:v>
      </x:c>
      <x:c r="C24" s="0" t="s">
        <x:v>21</x:v>
      </x:c>
      <x:c r="D24" s="0" t="s">
        <x:v>34</x:v>
      </x:c>
      <x:c r="E24" s="0">
        <x:v>1</x:v>
      </x:c>
      <x:c r="F24" s="0">
        <x:v>0.1</x:v>
      </x:c>
      <x:c r="G24" s="8">
        <x:v>3580</x:v>
      </x:c>
      <x:c r="H24" s="8">
        <x:v>358</x:v>
      </x:c>
      <x:c r="I24" s="0" t="s">
        <x:v>23</x:v>
      </x:c>
      <x:c r="K24" s="8">
        <x:v>358</x:v>
      </x:c>
      <x:c r="L24" s="0" t="s">
        <x:v>24</x:v>
      </x:c>
      <x:c r="M24" s="0" t="s">
        <x:v>25</x:v>
      </x:c>
      <x:c r="N24" s="0" t="s">
        <x:v>26</x:v>
      </x:c>
      <x:c r="P24" s="0" t="s">
        <x:v>27</x:v>
      </x:c>
    </x:row>
    <x:row r="25" spans="1:20">
      <x:c r="A25" s="0">
        <x:v>24</x:v>
      </x:c>
      <x:c r="B25" s="0" t="s">
        <x:v>50</x:v>
      </x:c>
      <x:c r="C25" s="0" t="s">
        <x:v>21</x:v>
      </x:c>
      <x:c r="D25" s="0" t="s">
        <x:v>22</x:v>
      </x:c>
      <x:c r="E25" s="0">
        <x:v>1</x:v>
      </x:c>
      <x:c r="F25" s="0">
        <x:v>2</x:v>
      </x:c>
      <x:c r="G25" s="8">
        <x:v>135</x:v>
      </x:c>
      <x:c r="H25" s="8">
        <x:v>270</x:v>
      </x:c>
      <x:c r="I25" s="0" t="s">
        <x:v>23</x:v>
      </x:c>
      <x:c r="K25" s="8">
        <x:v>270</x:v>
      </x:c>
      <x:c r="L25" s="0" t="s">
        <x:v>24</x:v>
      </x:c>
      <x:c r="M25" s="0" t="s">
        <x:v>25</x:v>
      </x:c>
      <x:c r="N25" s="0" t="s">
        <x:v>26</x:v>
      </x:c>
      <x:c r="P25" s="0" t="s">
        <x:v>27</x:v>
      </x:c>
    </x:row>
    <x:row r="26" spans="1:20">
      <x:c r="A26" s="0">
        <x:v>25</x:v>
      </x:c>
      <x:c r="B26" s="0" t="s">
        <x:v>51</x:v>
      </x:c>
      <x:c r="C26" s="0" t="s">
        <x:v>21</x:v>
      </x:c>
      <x:c r="D26" s="0" t="s">
        <x:v>22</x:v>
      </x:c>
      <x:c r="E26" s="0">
        <x:v>1</x:v>
      </x:c>
      <x:c r="F26" s="0">
        <x:v>6</x:v>
      </x:c>
      <x:c r="G26" s="8">
        <x:v>51.62</x:v>
      </x:c>
      <x:c r="H26" s="8">
        <x:v>309.69</x:v>
      </x:c>
      <x:c r="I26" s="0" t="s">
        <x:v>23</x:v>
      </x:c>
      <x:c r="K26" s="8">
        <x:v>309.69</x:v>
      </x:c>
      <x:c r="L26" s="0" t="s">
        <x:v>24</x:v>
      </x:c>
      <x:c r="M26" s="0" t="s">
        <x:v>25</x:v>
      </x:c>
      <x:c r="N26" s="0" t="s">
        <x:v>26</x:v>
      </x:c>
      <x:c r="P26" s="0" t="s">
        <x:v>27</x:v>
      </x:c>
    </x:row>
    <x:row r="27" spans="1:20">
      <x:c r="A27" s="0">
        <x:v>26</x:v>
      </x:c>
      <x:c r="B27" s="0" t="s">
        <x:v>52</x:v>
      </x:c>
      <x:c r="C27" s="0" t="s">
        <x:v>21</x:v>
      </x:c>
      <x:c r="D27" s="0" t="s">
        <x:v>22</x:v>
      </x:c>
      <x:c r="E27" s="0">
        <x:v>1</x:v>
      </x:c>
      <x:c r="F27" s="0">
        <x:v>1</x:v>
      </x:c>
      <x:c r="G27" s="8">
        <x:v>270</x:v>
      </x:c>
      <x:c r="H27" s="8">
        <x:v>270</x:v>
      </x:c>
      <x:c r="I27" s="0" t="s">
        <x:v>23</x:v>
      </x:c>
      <x:c r="K27" s="8">
        <x:v>270</x:v>
      </x:c>
      <x:c r="L27" s="0" t="s">
        <x:v>24</x:v>
      </x:c>
      <x:c r="M27" s="0" t="s">
        <x:v>25</x:v>
      </x:c>
      <x:c r="N27" s="0" t="s">
        <x:v>26</x:v>
      </x:c>
      <x:c r="P27" s="0" t="s">
        <x:v>27</x:v>
      </x:c>
    </x:row>
    <x:row r="28" spans="1:20">
      <x:c r="A28" s="0">
        <x:v>27</x:v>
      </x:c>
      <x:c r="B28" s="0" t="s">
        <x:v>53</x:v>
      </x:c>
      <x:c r="C28" s="0" t="s">
        <x:v>21</x:v>
      </x:c>
      <x:c r="D28" s="0" t="s">
        <x:v>22</x:v>
      </x:c>
      <x:c r="E28" s="0">
        <x:v>1</x:v>
      </x:c>
      <x:c r="F28" s="0">
        <x:v>5</x:v>
      </x:c>
      <x:c r="G28" s="8">
        <x:v>39.33</x:v>
      </x:c>
      <x:c r="H28" s="8">
        <x:v>196.66</x:v>
      </x:c>
      <x:c r="I28" s="0" t="s">
        <x:v>23</x:v>
      </x:c>
      <x:c r="K28" s="8">
        <x:v>196.66</x:v>
      </x:c>
      <x:c r="L28" s="0" t="s">
        <x:v>24</x:v>
      </x:c>
      <x:c r="M28" s="0" t="s">
        <x:v>25</x:v>
      </x:c>
      <x:c r="N28" s="0" t="s">
        <x:v>26</x:v>
      </x:c>
      <x:c r="P28" s="0" t="s">
        <x:v>27</x:v>
      </x:c>
    </x:row>
    <x:row r="29" spans="1:20">
      <x:c r="A29" s="0">
        <x:v>28</x:v>
      </x:c>
      <x:c r="B29" s="0" t="s">
        <x:v>55</x:v>
      </x:c>
      <x:c r="C29" s="0" t="s">
        <x:v>21</x:v>
      </x:c>
      <x:c r="D29" s="0" t="s">
        <x:v>22</x:v>
      </x:c>
      <x:c r="E29" s="0">
        <x:v>1</x:v>
      </x:c>
      <x:c r="F29" s="0">
        <x:v>7</x:v>
      </x:c>
      <x:c r="G29" s="8">
        <x:v>320</x:v>
      </x:c>
      <x:c r="H29" s="8">
        <x:v>2240</x:v>
      </x:c>
      <x:c r="I29" s="0" t="s">
        <x:v>23</x:v>
      </x:c>
      <x:c r="K29" s="8">
        <x:v>2240</x:v>
      </x:c>
      <x:c r="L29" s="0" t="s">
        <x:v>24</x:v>
      </x:c>
      <x:c r="M29" s="0" t="s">
        <x:v>25</x:v>
      </x:c>
      <x:c r="N29" s="0" t="s">
        <x:v>26</x:v>
      </x:c>
      <x:c r="P29" s="0" t="s">
        <x:v>27</x:v>
      </x:c>
    </x:row>
    <x:row r="30" spans="1:20">
      <x:c r="A30" s="0">
        <x:v>29</x:v>
      </x:c>
      <x:c r="B30" s="0" t="s">
        <x:v>155</x:v>
      </x:c>
      <x:c r="C30" s="0" t="s">
        <x:v>21</x:v>
      </x:c>
      <x:c r="D30" s="0" t="s">
        <x:v>22</x:v>
      </x:c>
      <x:c r="E30" s="0">
        <x:v>1</x:v>
      </x:c>
      <x:c r="F30" s="0">
        <x:v>2</x:v>
      </x:c>
      <x:c r="G30" s="8">
        <x:v>172.47</x:v>
      </x:c>
      <x:c r="H30" s="8">
        <x:v>344.93</x:v>
      </x:c>
      <x:c r="I30" s="0" t="s">
        <x:v>23</x:v>
      </x:c>
      <x:c r="K30" s="8">
        <x:v>344.93</x:v>
      </x:c>
      <x:c r="L30" s="0" t="s">
        <x:v>24</x:v>
      </x:c>
      <x:c r="M30" s="0" t="s">
        <x:v>25</x:v>
      </x:c>
      <x:c r="N30" s="0" t="s">
        <x:v>26</x:v>
      </x:c>
      <x:c r="P30" s="0" t="s">
        <x:v>27</x:v>
      </x:c>
    </x:row>
    <x:row r="31" spans="1:20">
      <x:c r="A31" s="0">
        <x:v>30</x:v>
      </x:c>
      <x:c r="B31" s="0" t="s">
        <x:v>57</x:v>
      </x:c>
      <x:c r="C31" s="0" t="s">
        <x:v>21</x:v>
      </x:c>
      <x:c r="D31" s="0" t="s">
        <x:v>22</x:v>
      </x:c>
      <x:c r="E31" s="0">
        <x:v>1</x:v>
      </x:c>
      <x:c r="F31" s="0">
        <x:v>1</x:v>
      </x:c>
      <x:c r="G31" s="8">
        <x:v>1</x:v>
      </x:c>
      <x:c r="H31" s="8">
        <x:v>1</x:v>
      </x:c>
      <x:c r="I31" s="0" t="s">
        <x:v>23</x:v>
      </x:c>
      <x:c r="K31" s="8">
        <x:v>1</x:v>
      </x:c>
      <x:c r="L31" s="0" t="s">
        <x:v>24</x:v>
      </x:c>
      <x:c r="M31" s="0" t="s">
        <x:v>25</x:v>
      </x:c>
      <x:c r="N31" s="0" t="s">
        <x:v>26</x:v>
      </x:c>
      <x:c r="P31" s="0" t="s">
        <x:v>27</x:v>
      </x:c>
    </x:row>
    <x:row r="32" spans="1:20">
      <x:c r="A32" s="0">
        <x:v>31</x:v>
      </x:c>
      <x:c r="B32" s="0" t="s">
        <x:v>58</x:v>
      </x:c>
      <x:c r="C32" s="0" t="s">
        <x:v>21</x:v>
      </x:c>
      <x:c r="D32" s="0" t="s">
        <x:v>22</x:v>
      </x:c>
      <x:c r="E32" s="0">
        <x:v>1</x:v>
      </x:c>
      <x:c r="F32" s="0">
        <x:v>3</x:v>
      </x:c>
      <x:c r="G32" s="8">
        <x:v>187.33</x:v>
      </x:c>
      <x:c r="H32" s="8">
        <x:v>562</x:v>
      </x:c>
      <x:c r="I32" s="0" t="s">
        <x:v>23</x:v>
      </x:c>
      <x:c r="K32" s="8">
        <x:v>562</x:v>
      </x:c>
      <x:c r="L32" s="0" t="s">
        <x:v>24</x:v>
      </x:c>
      <x:c r="M32" s="0" t="s">
        <x:v>25</x:v>
      </x:c>
      <x:c r="N32" s="0" t="s">
        <x:v>26</x:v>
      </x:c>
      <x:c r="P32" s="0" t="s">
        <x:v>27</x:v>
      </x:c>
    </x:row>
    <x:row r="33" spans="1:20">
      <x:c r="A33" s="0">
        <x:v>32</x:v>
      </x:c>
      <x:c r="B33" s="0" t="s">
        <x:v>60</x:v>
      </x:c>
      <x:c r="C33" s="0" t="s">
        <x:v>21</x:v>
      </x:c>
      <x:c r="D33" s="0" t="s">
        <x:v>22</x:v>
      </x:c>
      <x:c r="E33" s="0">
        <x:v>1</x:v>
      </x:c>
      <x:c r="F33" s="0">
        <x:v>1</x:v>
      </x:c>
      <x:c r="G33" s="8">
        <x:v>146</x:v>
      </x:c>
      <x:c r="H33" s="8">
        <x:v>146</x:v>
      </x:c>
      <x:c r="I33" s="0" t="s">
        <x:v>23</x:v>
      </x:c>
      <x:c r="K33" s="8">
        <x:v>146</x:v>
      </x:c>
      <x:c r="L33" s="0" t="s">
        <x:v>24</x:v>
      </x:c>
      <x:c r="M33" s="0" t="s">
        <x:v>25</x:v>
      </x:c>
      <x:c r="N33" s="0" t="s">
        <x:v>26</x:v>
      </x:c>
      <x:c r="P33" s="0" t="s">
        <x:v>27</x:v>
      </x:c>
    </x:row>
    <x:row r="34" spans="1:20">
      <x:c r="A34" s="0">
        <x:v>33</x:v>
      </x:c>
      <x:c r="B34" s="0" t="s">
        <x:v>90</x:v>
      </x:c>
      <x:c r="C34" s="0" t="s">
        <x:v>21</x:v>
      </x:c>
      <x:c r="D34" s="0" t="s">
        <x:v>22</x:v>
      </x:c>
      <x:c r="E34" s="0">
        <x:v>1</x:v>
      </x:c>
      <x:c r="F34" s="0">
        <x:v>1</x:v>
      </x:c>
      <x:c r="G34" s="8">
        <x:v>45</x:v>
      </x:c>
      <x:c r="H34" s="8">
        <x:v>45</x:v>
      </x:c>
      <x:c r="I34" s="0" t="s">
        <x:v>23</x:v>
      </x:c>
      <x:c r="K34" s="8">
        <x:v>45</x:v>
      </x:c>
      <x:c r="L34" s="0" t="s">
        <x:v>24</x:v>
      </x:c>
      <x:c r="M34" s="0" t="s">
        <x:v>25</x:v>
      </x:c>
      <x:c r="N34" s="0" t="s">
        <x:v>26</x:v>
      </x:c>
      <x:c r="P34" s="0" t="s">
        <x:v>27</x:v>
      </x:c>
    </x:row>
    <x:row r="35" spans="1:20">
      <x:c r="H35" s="18">
        <x:f>SUM(H2:H34)</x:f>
      </x:c>
    </x:row>
    <x:row r="37" spans="1:20">
      <x:c r="B37" s="19" t="s">
        <x:v>163</x:v>
      </x:c>
      <x:c r="C37" s="20"/>
      <x:c r="D37" s="20"/>
      <x:c r="E37" s="20"/>
      <x:c r="F37" s="20"/>
      <x:c r="G37" s="20"/>
      <x:c r="H37" s="21">
        <x:f>SUM(H38:H40)</x:f>
      </x:c>
      <x:c r="I37" s="22" t="s">
        <x:v>164</x:v>
      </x:c>
    </x:row>
    <x:row r="38" spans="1:20">
      <x:c r="B38" s="21" t="s">
        <x:v>165</x:v>
      </x:c>
      <x:c r="C38" s="21"/>
      <x:c r="D38" s="21"/>
      <x:c r="E38" s="21"/>
      <x:c r="F38" s="20">
        <x:f>F2+F3+F4+F5+F15+F16+F17+F21+F23+F27+F31+F32+F33</x:f>
      </x:c>
      <x:c r="G38" s="20">
        <x:f>G2+G3+G4+G5+G15+G16+G17+G21+G23+G27+G31+G32+G33</x:f>
      </x:c>
      <x:c r="H38" s="20">
        <x:f>H2+H3+H4+H5+H15+H16+H17+H21+H23+H27+H31+H32+H33</x:f>
      </x:c>
      <x:c r="I38" s="15"/>
    </x:row>
    <x:row r="39" spans="1:20">
      <x:c r="B39" s="21" t="s">
        <x:v>166</x:v>
      </x:c>
      <x:c r="C39" s="21"/>
      <x:c r="D39" s="21"/>
      <x:c r="E39" s="21"/>
      <x:c r="F39" s="20">
        <x:f>F34</x:f>
      </x:c>
      <x:c r="G39" s="20">
        <x:f>G34</x:f>
      </x:c>
      <x:c r="H39" s="20">
        <x:f>H34</x:f>
      </x:c>
      <x:c r="I39" s="15"/>
    </x:row>
    <x:row r="40" spans="1:20">
      <x:c r="B40" s="21" t="s">
        <x:v>167</x:v>
      </x:c>
      <x:c r="C40" s="21"/>
      <x:c r="D40" s="21"/>
      <x:c r="E40" s="21"/>
      <x:c r="F40" s="20">
        <x:f>F6+F26+F28</x:f>
      </x:c>
      <x:c r="G40" s="20">
        <x:f>G6+G26+G28</x:f>
      </x:c>
      <x:c r="H40" s="20">
        <x:f>H6+H26+H28</x:f>
      </x:c>
      <x:c r="I40" s="15"/>
    </x:row>
    <x:row r="41" spans="1:20">
      <x:c r="B41" s="19" t="s">
        <x:v>168</x:v>
      </x:c>
      <x:c r="C41" s="20"/>
      <x:c r="D41" s="20"/>
      <x:c r="E41" s="20"/>
      <x:c r="F41" s="20"/>
      <x:c r="G41" s="20"/>
      <x:c r="H41" s="21">
        <x:f>SUM(H42:H48)</x:f>
      </x:c>
      <x:c r="I41" s="22" t="s">
        <x:v>169</x:v>
      </x:c>
    </x:row>
    <x:row r="42" spans="1:20">
      <x:c r="B42" s="21" t="s">
        <x:v>170</x:v>
      </x:c>
      <x:c r="C42" s="21"/>
      <x:c r="D42" s="21"/>
      <x:c r="E42" s="21"/>
      <x:c r="F42" s="20">
        <x:f>F7+F8+F9+F10+F11+F12+F13+F14</x:f>
      </x:c>
      <x:c r="G42" s="20">
        <x:f>G7+G8+G9+G10+G11+G12+G13+G14</x:f>
      </x:c>
      <x:c r="H42" s="20">
        <x:f>H7+H8+H9+H10+H11+H12+H13+H14</x:f>
      </x:c>
      <x:c r="I42" s="15"/>
    </x:row>
    <x:row r="43" spans="1:20">
      <x:c r="B43" s="21" t="s">
        <x:v>171</x:v>
      </x:c>
      <x:c r="C43" s="21"/>
      <x:c r="D43" s="21"/>
      <x:c r="E43" s="21"/>
      <x:c r="F43" s="20"/>
      <x:c r="G43" s="20"/>
      <x:c r="H43" s="20"/>
      <x:c r="I43" s="15"/>
    </x:row>
    <x:row r="44" spans="1:20">
      <x:c r="B44" s="21" t="s">
        <x:v>172</x:v>
      </x:c>
      <x:c r="C44" s="21"/>
      <x:c r="D44" s="21"/>
      <x:c r="E44" s="21"/>
      <x:c r="F44" s="20"/>
      <x:c r="G44" s="20"/>
      <x:c r="H44" s="20"/>
      <x:c r="I44" s="15"/>
    </x:row>
    <x:row r="45" spans="1:20">
      <x:c r="B45" s="21" t="s">
        <x:v>173</x:v>
      </x:c>
      <x:c r="C45" s="21"/>
      <x:c r="D45" s="21"/>
      <x:c r="E45" s="21"/>
      <x:c r="F45" s="20">
        <x:f>F18+F22+F24</x:f>
      </x:c>
      <x:c r="G45" s="20">
        <x:f>G18+G22+G24</x:f>
      </x:c>
      <x:c r="H45" s="20">
        <x:f>H18+H22+H24</x:f>
      </x:c>
      <x:c r="I45" s="15"/>
    </x:row>
    <x:row r="46" spans="1:20">
      <x:c r="B46" s="21" t="s">
        <x:v>174</x:v>
      </x:c>
      <x:c r="C46" s="21"/>
      <x:c r="D46" s="21"/>
      <x:c r="E46" s="21"/>
      <x:c r="F46" s="20"/>
      <x:c r="G46" s="20"/>
      <x:c r="H46" s="20"/>
      <x:c r="I46" s="15"/>
    </x:row>
    <x:row r="47" spans="1:20">
      <x:c r="B47" s="21" t="s">
        <x:v>70</x:v>
      </x:c>
      <x:c r="C47" s="21"/>
      <x:c r="D47" s="21"/>
      <x:c r="E47" s="21"/>
      <x:c r="F47" s="20"/>
      <x:c r="G47" s="20"/>
      <x:c r="H47" s="20"/>
      <x:c r="I47" s="15"/>
    </x:row>
    <x:row r="48" spans="1:20">
      <x:c r="B48" s="21" t="s">
        <x:v>175</x:v>
      </x:c>
      <x:c r="C48" s="21"/>
      <x:c r="D48" s="21"/>
      <x:c r="E48" s="21"/>
      <x:c r="F48" s="20"/>
      <x:c r="G48" s="20"/>
      <x:c r="H48" s="20"/>
      <x:c r="I48" s="15"/>
    </x:row>
    <x:row r="49" spans="1:20">
      <x:c r="B49" s="19" t="s">
        <x:v>176</x:v>
      </x:c>
      <x:c r="C49" s="20"/>
      <x:c r="D49" s="20"/>
      <x:c r="E49" s="20"/>
      <x:c r="F49" s="20"/>
      <x:c r="G49" s="20"/>
      <x:c r="H49" s="21">
        <x:f>SUM(H50:H55)</x:f>
      </x:c>
      <x:c r="I49" s="22" t="s">
        <x:v>177</x:v>
      </x:c>
    </x:row>
    <x:row r="50" spans="1:20">
      <x:c r="B50" s="21" t="s">
        <x:v>178</x:v>
      </x:c>
      <x:c r="C50" s="21"/>
      <x:c r="D50" s="21"/>
      <x:c r="E50" s="21"/>
      <x:c r="F50" s="20"/>
      <x:c r="G50" s="20"/>
      <x:c r="H50" s="20"/>
      <x:c r="I50" s="15"/>
    </x:row>
    <x:row r="51" spans="1:20">
      <x:c r="B51" s="21" t="s">
        <x:v>179</x:v>
      </x:c>
      <x:c r="C51" s="21"/>
      <x:c r="D51" s="21"/>
      <x:c r="E51" s="21"/>
      <x:c r="F51" s="20">
        <x:f>F29</x:f>
      </x:c>
      <x:c r="G51" s="20">
        <x:f>G29</x:f>
      </x:c>
      <x:c r="H51" s="20">
        <x:f>H29</x:f>
      </x:c>
      <x:c r="I51" s="15"/>
    </x:row>
    <x:row r="52" spans="1:20">
      <x:c r="B52" s="21" t="s">
        <x:v>54</x:v>
      </x:c>
      <x:c r="C52" s="21"/>
      <x:c r="D52" s="21"/>
      <x:c r="E52" s="21"/>
      <x:c r="F52" s="20"/>
      <x:c r="G52" s="20"/>
      <x:c r="H52" s="20"/>
      <x:c r="I52" s="15"/>
    </x:row>
    <x:row r="53" spans="1:20">
      <x:c r="B53" s="21" t="s">
        <x:v>180</x:v>
      </x:c>
      <x:c r="C53" s="21"/>
      <x:c r="D53" s="21"/>
      <x:c r="E53" s="21"/>
      <x:c r="F53" s="20"/>
      <x:c r="G53" s="20"/>
      <x:c r="H53" s="20"/>
      <x:c r="I53" s="15"/>
    </x:row>
    <x:row r="54" spans="1:20">
      <x:c r="B54" s="21" t="s">
        <x:v>181</x:v>
      </x:c>
      <x:c r="C54" s="21"/>
      <x:c r="D54" s="21"/>
      <x:c r="E54" s="21"/>
      <x:c r="F54" s="20">
        <x:f>F20+F25+F30</x:f>
      </x:c>
      <x:c r="G54" s="20">
        <x:f>G20+G25+G30</x:f>
      </x:c>
      <x:c r="H54" s="20">
        <x:f>H20+H25+H30</x:f>
      </x:c>
      <x:c r="I54" s="15"/>
    </x:row>
    <x:row r="55" spans="1:20">
      <x:c r="B55" s="21" t="s">
        <x:v>182</x:v>
      </x:c>
      <x:c r="C55" s="21"/>
      <x:c r="D55" s="21"/>
      <x:c r="E55" s="21"/>
      <x:c r="F55" s="20">
        <x:f>F19</x:f>
      </x:c>
      <x:c r="G55" s="20">
        <x:f>G19</x:f>
      </x:c>
      <x:c r="H55" s="20">
        <x:f>H19</x:f>
      </x:c>
      <x:c r="I55" s="15"/>
    </x:row>
    <x:row r="56" spans="1:20">
      <x:c r="B56" s="19" t="s">
        <x:v>183</x:v>
      </x:c>
      <x:c r="C56" s="20"/>
      <x:c r="D56" s="20"/>
      <x:c r="E56" s="20"/>
      <x:c r="F56" s="20"/>
      <x:c r="G56" s="20"/>
      <x:c r="H56" s="21">
        <x:f>SUM(H57:H58)</x:f>
      </x:c>
      <x:c r="I56" s="22"/>
    </x:row>
    <x:row r="57" spans="1:20">
      <x:c r="B57" s="21" t="s">
        <x:v>184</x:v>
      </x:c>
      <x:c r="C57" s="21"/>
      <x:c r="D57" s="21"/>
      <x:c r="E57" s="21"/>
      <x:c r="F57" s="20"/>
      <x:c r="G57" s="20"/>
      <x:c r="H57" s="20"/>
      <x:c r="I57" s="15"/>
    </x:row>
    <x:row r="58" spans="1:20">
      <x:c r="B58" s="21" t="s">
        <x:v>185</x:v>
      </x:c>
      <x:c r="C58" s="21"/>
      <x:c r="D58" s="21"/>
      <x:c r="E58" s="21"/>
      <x:c r="F58" s="20"/>
      <x:c r="G58" s="20"/>
      <x:c r="H58" s="20"/>
      <x:c r="I58" s="15"/>
    </x:row>
    <x:row r="59" spans="1:20">
      <x:c r="B59" s="22"/>
      <x:c r="C59" s="22"/>
      <x:c r="D59" s="22"/>
      <x:c r="E59" s="22"/>
      <x:c r="F59" s="15"/>
      <x:c r="G59" s="15"/>
      <x:c r="H59" s="22">
        <x:f>H37+H41+H49+H56</x:f>
      </x:c>
      <x:c r="I59" s="15"/>
    </x:row>
    <x:row r="60" spans="1:20">
      <x:c r="H60" s="17">
        <x:f>H59 - H35</x:f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FCEF9FD-B525-2C49-834B-526E4B834DD3}" mc:Ignorable="x14ac xr xr2 xr3">
  <x:sheetPr>
    <x:outlinePr summaryBelow="1" summaryRight="1"/>
  </x:sheetPr>
  <x:dimension ref="A1:T34"/>
  <x:sheetViews>
    <x:sheetView topLeftCell="A28" workbookViewId="0"/>
  </x:sheetViews>
  <x:sheetFormatPr defaultColWidth="11.085625" defaultRowHeight="15.75"/>
  <x:sheetData>
    <x:row r="1" spans="1:2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</x:row>
    <x:row r="2" spans="1:20">
      <x:c r="A2" s="0">
        <x:v>1</x:v>
      </x:c>
      <x:c r="B2" s="0" t="s">
        <x:v>131</x:v>
      </x:c>
      <x:c r="C2" s="0" t="s">
        <x:v>21</x:v>
      </x:c>
      <x:c r="D2" s="0" t="s">
        <x:v>22</x:v>
      </x:c>
      <x:c r="E2" s="0">
        <x:v>1</x:v>
      </x:c>
      <x:c r="F2" s="0">
        <x:v>2</x:v>
      </x:c>
      <x:c r="G2" s="8">
        <x:v>200</x:v>
      </x:c>
      <x:c r="H2" s="8">
        <x:v>400</x:v>
      </x:c>
      <x:c r="I2" s="0" t="s">
        <x:v>23</x:v>
      </x:c>
      <x:c r="K2" s="8">
        <x:v>400</x:v>
      </x:c>
      <x:c r="L2" s="0" t="s">
        <x:v>24</x:v>
      </x:c>
      <x:c r="M2" s="0" t="s">
        <x:v>25</x:v>
      </x:c>
      <x:c r="N2" s="0" t="s">
        <x:v>26</x:v>
      </x:c>
      <x:c r="P2" s="0" t="s">
        <x:v>27</x:v>
      </x:c>
    </x:row>
    <x:row r="3" spans="1:20">
      <x:c r="A3" s="0">
        <x:v>2</x:v>
      </x:c>
      <x:c r="B3" s="0" t="s">
        <x:v>91</x:v>
      </x:c>
      <x:c r="C3" s="0" t="s">
        <x:v>21</x:v>
      </x:c>
      <x:c r="D3" s="0" t="s">
        <x:v>22</x:v>
      </x:c>
      <x:c r="E3" s="0">
        <x:v>1</x:v>
      </x:c>
      <x:c r="F3" s="0">
        <x:v>1</x:v>
      </x:c>
      <x:c r="G3" s="8">
        <x:v>350</x:v>
      </x:c>
      <x:c r="H3" s="8">
        <x:v>350</x:v>
      </x:c>
      <x:c r="I3" s="0" t="s">
        <x:v>23</x:v>
      </x:c>
      <x:c r="K3" s="8">
        <x:v>350</x:v>
      </x:c>
      <x:c r="L3" s="0" t="s">
        <x:v>24</x:v>
      </x:c>
      <x:c r="M3" s="0" t="s">
        <x:v>25</x:v>
      </x:c>
      <x:c r="N3" s="0" t="s">
        <x:v>26</x:v>
      </x:c>
      <x:c r="P3" s="0" t="s">
        <x:v>27</x:v>
      </x:c>
    </x:row>
    <x:row r="4" spans="1:20">
      <x:c r="A4" s="0">
        <x:v>3</x:v>
      </x:c>
      <x:c r="B4" s="0" t="s">
        <x:v>20</x:v>
      </x:c>
      <x:c r="C4" s="0" t="s">
        <x:v>21</x:v>
      </x:c>
      <x:c r="D4" s="0" t="s">
        <x:v>22</x:v>
      </x:c>
      <x:c r="E4" s="0">
        <x:v>1</x:v>
      </x:c>
      <x:c r="F4" s="0">
        <x:v>1</x:v>
      </x:c>
      <x:c r="G4" s="8">
        <x:v>150</x:v>
      </x:c>
      <x:c r="H4" s="8">
        <x:v>150</x:v>
      </x:c>
      <x:c r="I4" s="0" t="s">
        <x:v>23</x:v>
      </x:c>
      <x:c r="K4" s="8">
        <x:v>150</x:v>
      </x:c>
      <x:c r="L4" s="0" t="s">
        <x:v>24</x:v>
      </x:c>
      <x:c r="M4" s="0" t="s">
        <x:v>25</x:v>
      </x:c>
      <x:c r="N4" s="0" t="s">
        <x:v>26</x:v>
      </x:c>
      <x:c r="P4" s="0" t="s">
        <x:v>27</x:v>
      </x:c>
    </x:row>
    <x:row r="5" spans="1:20">
      <x:c r="A5" s="0">
        <x:v>4</x:v>
      </x:c>
      <x:c r="B5" s="0" t="s">
        <x:v>28</x:v>
      </x:c>
      <x:c r="C5" s="0" t="s">
        <x:v>21</x:v>
      </x:c>
      <x:c r="D5" s="0" t="s">
        <x:v>22</x:v>
      </x:c>
      <x:c r="E5" s="0">
        <x:v>1</x:v>
      </x:c>
      <x:c r="F5" s="0">
        <x:v>1</x:v>
      </x:c>
      <x:c r="G5" s="8">
        <x:v>250</x:v>
      </x:c>
      <x:c r="H5" s="8">
        <x:v>250</x:v>
      </x:c>
      <x:c r="I5" s="0" t="s">
        <x:v>23</x:v>
      </x:c>
      <x:c r="K5" s="8">
        <x:v>250</x:v>
      </x:c>
      <x:c r="L5" s="0" t="s">
        <x:v>24</x:v>
      </x:c>
      <x:c r="M5" s="0" t="s">
        <x:v>25</x:v>
      </x:c>
      <x:c r="N5" s="0" t="s">
        <x:v>26</x:v>
      </x:c>
      <x:c r="P5" s="0" t="s">
        <x:v>27</x:v>
      </x:c>
    </x:row>
    <x:row r="6" spans="1:20">
      <x:c r="A6" s="0">
        <x:v>5</x:v>
      </x:c>
      <x:c r="B6" s="0" t="s">
        <x:v>29</x:v>
      </x:c>
      <x:c r="C6" s="0" t="s">
        <x:v>21</x:v>
      </x:c>
      <x:c r="D6" s="0" t="s">
        <x:v>22</x:v>
      </x:c>
      <x:c r="E6" s="0">
        <x:v>1</x:v>
      </x:c>
      <x:c r="F6" s="0">
        <x:v>7</x:v>
      </x:c>
      <x:c r="G6" s="8">
        <x:v>191.36</x:v>
      </x:c>
      <x:c r="H6" s="8">
        <x:v>1339.5</x:v>
      </x:c>
      <x:c r="I6" s="0" t="s">
        <x:v>23</x:v>
      </x:c>
      <x:c r="K6" s="8">
        <x:v>1339.5</x:v>
      </x:c>
      <x:c r="L6" s="0" t="s">
        <x:v>24</x:v>
      </x:c>
      <x:c r="M6" s="0" t="s">
        <x:v>25</x:v>
      </x:c>
      <x:c r="N6" s="0" t="s">
        <x:v>26</x:v>
      </x:c>
      <x:c r="P6" s="0" t="s">
        <x:v>27</x:v>
      </x:c>
    </x:row>
    <x:row r="7" spans="1:20">
      <x:c r="A7" s="0">
        <x:v>6</x:v>
      </x:c>
      <x:c r="B7" s="0" t="s">
        <x:v>30</x:v>
      </x:c>
      <x:c r="C7" s="0" t="s">
        <x:v>21</x:v>
      </x:c>
      <x:c r="D7" s="0" t="s">
        <x:v>22</x:v>
      </x:c>
      <x:c r="E7" s="0">
        <x:v>1</x:v>
      </x:c>
      <x:c r="F7" s="0">
        <x:v>12</x:v>
      </x:c>
      <x:c r="G7" s="8">
        <x:v>325.88</x:v>
      </x:c>
      <x:c r="H7" s="8">
        <x:v>3910.5</x:v>
      </x:c>
      <x:c r="I7" s="0" t="s">
        <x:v>23</x:v>
      </x:c>
      <x:c r="K7" s="8">
        <x:v>3910.5</x:v>
      </x:c>
      <x:c r="L7" s="0" t="s">
        <x:v>24</x:v>
      </x:c>
      <x:c r="M7" s="0" t="s">
        <x:v>25</x:v>
      </x:c>
      <x:c r="N7" s="0" t="s">
        <x:v>26</x:v>
      </x:c>
      <x:c r="P7" s="0" t="s">
        <x:v>27</x:v>
      </x:c>
    </x:row>
    <x:row r="8" spans="1:20">
      <x:c r="A8" s="0">
        <x:v>7</x:v>
      </x:c>
      <x:c r="B8" s="0" t="s">
        <x:v>31</x:v>
      </x:c>
      <x:c r="C8" s="0" t="s">
        <x:v>21</x:v>
      </x:c>
      <x:c r="D8" s="0" t="s">
        <x:v>22</x:v>
      </x:c>
      <x:c r="E8" s="0">
        <x:v>1</x:v>
      </x:c>
      <x:c r="F8" s="0">
        <x:v>1</x:v>
      </x:c>
      <x:c r="G8" s="8">
        <x:v>100</x:v>
      </x:c>
      <x:c r="H8" s="8">
        <x:v>100</x:v>
      </x:c>
      <x:c r="I8" s="0" t="s">
        <x:v>23</x:v>
      </x:c>
      <x:c r="K8" s="8">
        <x:v>100</x:v>
      </x:c>
      <x:c r="L8" s="0" t="s">
        <x:v>24</x:v>
      </x:c>
      <x:c r="M8" s="0" t="s">
        <x:v>25</x:v>
      </x:c>
      <x:c r="N8" s="0" t="s">
        <x:v>26</x:v>
      </x:c>
      <x:c r="P8" s="0" t="s">
        <x:v>27</x:v>
      </x:c>
    </x:row>
    <x:row r="9" spans="1:20">
      <x:c r="A9" s="0">
        <x:v>8</x:v>
      </x:c>
      <x:c r="B9" s="0" t="s">
        <x:v>32</x:v>
      </x:c>
      <x:c r="C9" s="0" t="s">
        <x:v>21</x:v>
      </x:c>
      <x:c r="D9" s="0" t="s">
        <x:v>22</x:v>
      </x:c>
      <x:c r="E9" s="0">
        <x:v>1</x:v>
      </x:c>
      <x:c r="F9" s="0">
        <x:v>4</x:v>
      </x:c>
      <x:c r="G9" s="8">
        <x:v>80</x:v>
      </x:c>
      <x:c r="H9" s="8">
        <x:v>320</x:v>
      </x:c>
      <x:c r="I9" s="0" t="s">
        <x:v>23</x:v>
      </x:c>
      <x:c r="K9" s="8">
        <x:v>320</x:v>
      </x:c>
      <x:c r="L9" s="0" t="s">
        <x:v>24</x:v>
      </x:c>
      <x:c r="M9" s="0" t="s">
        <x:v>25</x:v>
      </x:c>
      <x:c r="N9" s="0" t="s">
        <x:v>26</x:v>
      </x:c>
      <x:c r="P9" s="0" t="s">
        <x:v>27</x:v>
      </x:c>
    </x:row>
    <x:row r="10" spans="1:20">
      <x:c r="A10" s="0">
        <x:v>9</x:v>
      </x:c>
      <x:c r="B10" s="0" t="s">
        <x:v>93</x:v>
      </x:c>
      <x:c r="C10" s="0" t="s">
        <x:v>21</x:v>
      </x:c>
      <x:c r="D10" s="0" t="s">
        <x:v>34</x:v>
      </x:c>
      <x:c r="E10" s="0">
        <x:v>1</x:v>
      </x:c>
      <x:c r="F10" s="0">
        <x:v>0.3</x:v>
      </x:c>
      <x:c r="G10" s="8">
        <x:v>3480</x:v>
      </x:c>
      <x:c r="H10" s="8">
        <x:v>1044</x:v>
      </x:c>
      <x:c r="I10" s="0" t="s">
        <x:v>23</x:v>
      </x:c>
      <x:c r="K10" s="8">
        <x:v>1044</x:v>
      </x:c>
      <x:c r="L10" s="0" t="s">
        <x:v>24</x:v>
      </x:c>
      <x:c r="M10" s="0" t="s">
        <x:v>25</x:v>
      </x:c>
      <x:c r="N10" s="0" t="s">
        <x:v>26</x:v>
      </x:c>
      <x:c r="P10" s="0" t="s">
        <x:v>27</x:v>
      </x:c>
    </x:row>
    <x:row r="11" spans="1:20">
      <x:c r="A11" s="0">
        <x:v>10</x:v>
      </x:c>
      <x:c r="B11" s="0" t="s">
        <x:v>83</x:v>
      </x:c>
      <x:c r="C11" s="0" t="s">
        <x:v>21</x:v>
      </x:c>
      <x:c r="D11" s="0" t="s">
        <x:v>34</x:v>
      </x:c>
      <x:c r="E11" s="0">
        <x:v>1</x:v>
      </x:c>
      <x:c r="F11" s="0">
        <x:v>0.3</x:v>
      </x:c>
      <x:c r="G11" s="8">
        <x:v>2080</x:v>
      </x:c>
      <x:c r="H11" s="8">
        <x:v>624</x:v>
      </x:c>
      <x:c r="I11" s="0" t="s">
        <x:v>23</x:v>
      </x:c>
      <x:c r="K11" s="8">
        <x:v>624</x:v>
      </x:c>
      <x:c r="L11" s="0" t="s">
        <x:v>24</x:v>
      </x:c>
      <x:c r="M11" s="0" t="s">
        <x:v>25</x:v>
      </x:c>
      <x:c r="N11" s="0" t="s">
        <x:v>26</x:v>
      </x:c>
      <x:c r="P11" s="0" t="s">
        <x:v>27</x:v>
      </x:c>
    </x:row>
    <x:row r="12" spans="1:20">
      <x:c r="A12" s="0">
        <x:v>11</x:v>
      </x:c>
      <x:c r="B12" s="0" t="s">
        <x:v>148</x:v>
      </x:c>
      <x:c r="C12" s="0" t="s">
        <x:v>21</x:v>
      </x:c>
      <x:c r="D12" s="0" t="s">
        <x:v>34</x:v>
      </x:c>
      <x:c r="E12" s="0">
        <x:v>1</x:v>
      </x:c>
      <x:c r="F12" s="0">
        <x:v>0.25</x:v>
      </x:c>
      <x:c r="G12" s="8">
        <x:v>3480</x:v>
      </x:c>
      <x:c r="H12" s="8">
        <x:v>870</x:v>
      </x:c>
      <x:c r="I12" s="0" t="s">
        <x:v>23</x:v>
      </x:c>
      <x:c r="K12" s="8">
        <x:v>870</x:v>
      </x:c>
      <x:c r="L12" s="0" t="s">
        <x:v>24</x:v>
      </x:c>
      <x:c r="M12" s="0" t="s">
        <x:v>25</x:v>
      </x:c>
      <x:c r="N12" s="0" t="s">
        <x:v>26</x:v>
      </x:c>
      <x:c r="P12" s="0" t="s">
        <x:v>27</x:v>
      </x:c>
    </x:row>
    <x:row r="13" spans="1:20">
      <x:c r="A13" s="0">
        <x:v>12</x:v>
      </x:c>
      <x:c r="B13" s="0" t="s">
        <x:v>160</x:v>
      </x:c>
      <x:c r="C13" s="0" t="s">
        <x:v>21</x:v>
      </x:c>
      <x:c r="D13" s="0" t="s">
        <x:v>22</x:v>
      </x:c>
      <x:c r="E13" s="0">
        <x:v>1</x:v>
      </x:c>
      <x:c r="F13" s="0">
        <x:v>1</x:v>
      </x:c>
      <x:c r="G13" s="8">
        <x:v>212.5</x:v>
      </x:c>
      <x:c r="H13" s="8">
        <x:v>212.5</x:v>
      </x:c>
      <x:c r="I13" s="0" t="s">
        <x:v>23</x:v>
      </x:c>
      <x:c r="K13" s="8">
        <x:v>212.5</x:v>
      </x:c>
      <x:c r="L13" s="0" t="s">
        <x:v>24</x:v>
      </x:c>
      <x:c r="M13" s="0" t="s">
        <x:v>25</x:v>
      </x:c>
      <x:c r="N13" s="0" t="s">
        <x:v>26</x:v>
      </x:c>
      <x:c r="P13" s="0" t="s">
        <x:v>27</x:v>
      </x:c>
    </x:row>
    <x:row r="14" spans="1:20">
      <x:c r="A14" s="0">
        <x:v>13</x:v>
      </x:c>
      <x:c r="B14" s="0" t="s">
        <x:v>70</x:v>
      </x:c>
      <x:c r="C14" s="0" t="s">
        <x:v>21</x:v>
      </x:c>
      <x:c r="D14" s="0" t="s">
        <x:v>22</x:v>
      </x:c>
      <x:c r="E14" s="0">
        <x:v>1</x:v>
      </x:c>
      <x:c r="F14" s="0">
        <x:v>1</x:v>
      </x:c>
      <x:c r="G14" s="8">
        <x:v>250</x:v>
      </x:c>
      <x:c r="H14" s="8">
        <x:v>250</x:v>
      </x:c>
      <x:c r="I14" s="0" t="s">
        <x:v>23</x:v>
      </x:c>
      <x:c r="K14" s="8">
        <x:v>250</x:v>
      </x:c>
      <x:c r="L14" s="0" t="s">
        <x:v>24</x:v>
      </x:c>
      <x:c r="M14" s="0" t="s">
        <x:v>25</x:v>
      </x:c>
      <x:c r="N14" s="0" t="s">
        <x:v>26</x:v>
      </x:c>
      <x:c r="P14" s="0" t="s">
        <x:v>27</x:v>
      </x:c>
    </x:row>
    <x:row r="15" spans="1:20">
      <x:c r="A15" s="0">
        <x:v>14</x:v>
      </x:c>
      <x:c r="B15" s="0" t="s">
        <x:v>84</x:v>
      </x:c>
      <x:c r="C15" s="0" t="s">
        <x:v>21</x:v>
      </x:c>
      <x:c r="D15" s="0" t="s">
        <x:v>22</x:v>
      </x:c>
      <x:c r="E15" s="0">
        <x:v>1</x:v>
      </x:c>
      <x:c r="F15" s="0">
        <x:v>1</x:v>
      </x:c>
      <x:c r="G15" s="8">
        <x:v>1000</x:v>
      </x:c>
      <x:c r="H15" s="8">
        <x:v>1000</x:v>
      </x:c>
      <x:c r="I15" s="0" t="s">
        <x:v>23</x:v>
      </x:c>
      <x:c r="K15" s="8">
        <x:v>1000</x:v>
      </x:c>
      <x:c r="L15" s="0" t="s">
        <x:v>24</x:v>
      </x:c>
      <x:c r="M15" s="0" t="s">
        <x:v>25</x:v>
      </x:c>
      <x:c r="N15" s="0" t="s">
        <x:v>26</x:v>
      </x:c>
      <x:c r="P15" s="0" t="s">
        <x:v>27</x:v>
      </x:c>
    </x:row>
    <x:row r="16" spans="1:20">
      <x:c r="A16" s="0">
        <x:v>15</x:v>
      </x:c>
      <x:c r="B16" s="0" t="s">
        <x:v>37</x:v>
      </x:c>
      <x:c r="C16" s="0" t="s">
        <x:v>21</x:v>
      </x:c>
      <x:c r="D16" s="0" t="s">
        <x:v>22</x:v>
      </x:c>
      <x:c r="E16" s="0">
        <x:v>1</x:v>
      </x:c>
      <x:c r="F16" s="0">
        <x:v>1</x:v>
      </x:c>
      <x:c r="G16" s="8">
        <x:v>297.5</x:v>
      </x:c>
      <x:c r="H16" s="8">
        <x:v>297.5</x:v>
      </x:c>
      <x:c r="I16" s="0" t="s">
        <x:v>23</x:v>
      </x:c>
      <x:c r="K16" s="8">
        <x:v>297.5</x:v>
      </x:c>
      <x:c r="L16" s="0" t="s">
        <x:v>24</x:v>
      </x:c>
      <x:c r="M16" s="0" t="s">
        <x:v>25</x:v>
      </x:c>
      <x:c r="N16" s="0" t="s">
        <x:v>26</x:v>
      </x:c>
      <x:c r="P16" s="0" t="s">
        <x:v>27</x:v>
      </x:c>
    </x:row>
    <x:row r="17" spans="1:20">
      <x:c r="A17" s="0">
        <x:v>16</x:v>
      </x:c>
      <x:c r="B17" s="0" t="s">
        <x:v>103</x:v>
      </x:c>
      <x:c r="C17" s="0" t="s">
        <x:v>21</x:v>
      </x:c>
      <x:c r="D17" s="0" t="s">
        <x:v>22</x:v>
      </x:c>
      <x:c r="E17" s="0">
        <x:v>1</x:v>
      </x:c>
      <x:c r="F17" s="0">
        <x:v>1</x:v>
      </x:c>
      <x:c r="G17" s="8">
        <x:v>420</x:v>
      </x:c>
      <x:c r="H17" s="8">
        <x:v>420</x:v>
      </x:c>
      <x:c r="I17" s="0" t="s">
        <x:v>23</x:v>
      </x:c>
      <x:c r="K17" s="8">
        <x:v>420</x:v>
      </x:c>
      <x:c r="L17" s="0" t="s">
        <x:v>24</x:v>
      </x:c>
      <x:c r="M17" s="0" t="s">
        <x:v>25</x:v>
      </x:c>
      <x:c r="N17" s="0" t="s">
        <x:v>26</x:v>
      </x:c>
      <x:c r="P17" s="0" t="s">
        <x:v>27</x:v>
      </x:c>
    </x:row>
    <x:row r="18" spans="1:20">
      <x:c r="A18" s="0">
        <x:v>17</x:v>
      </x:c>
      <x:c r="B18" s="0" t="s">
        <x:v>39</x:v>
      </x:c>
      <x:c r="C18" s="0" t="s">
        <x:v>21</x:v>
      </x:c>
      <x:c r="D18" s="0" t="s">
        <x:v>22</x:v>
      </x:c>
      <x:c r="E18" s="0">
        <x:v>1</x:v>
      </x:c>
      <x:c r="F18" s="0">
        <x:v>3</x:v>
      </x:c>
      <x:c r="G18" s="8">
        <x:v>250</x:v>
      </x:c>
      <x:c r="H18" s="8">
        <x:v>750</x:v>
      </x:c>
      <x:c r="I18" s="0" t="s">
        <x:v>23</x:v>
      </x:c>
      <x:c r="K18" s="8">
        <x:v>750</x:v>
      </x:c>
      <x:c r="L18" s="0" t="s">
        <x:v>24</x:v>
      </x:c>
      <x:c r="M18" s="0" t="s">
        <x:v>25</x:v>
      </x:c>
      <x:c r="N18" s="0" t="s">
        <x:v>26</x:v>
      </x:c>
      <x:c r="P18" s="0" t="s">
        <x:v>27</x:v>
      </x:c>
    </x:row>
    <x:row r="19" spans="1:20">
      <x:c r="A19" s="0">
        <x:v>18</x:v>
      </x:c>
      <x:c r="B19" s="0" t="s">
        <x:v>40</x:v>
      </x:c>
      <x:c r="C19" s="0" t="s">
        <x:v>21</x:v>
      </x:c>
      <x:c r="D19" s="0" t="s">
        <x:v>22</x:v>
      </x:c>
      <x:c r="E19" s="0">
        <x:v>1</x:v>
      </x:c>
      <x:c r="F19" s="0">
        <x:v>2</x:v>
      </x:c>
      <x:c r="G19" s="8">
        <x:v>400</x:v>
      </x:c>
      <x:c r="H19" s="8">
        <x:v>800</x:v>
      </x:c>
      <x:c r="I19" s="0" t="s">
        <x:v>23</x:v>
      </x:c>
      <x:c r="K19" s="8">
        <x:v>800</x:v>
      </x:c>
      <x:c r="L19" s="0" t="s">
        <x:v>24</x:v>
      </x:c>
      <x:c r="M19" s="0" t="s">
        <x:v>25</x:v>
      </x:c>
      <x:c r="N19" s="0" t="s">
        <x:v>26</x:v>
      </x:c>
      <x:c r="P19" s="0" t="s">
        <x:v>27</x:v>
      </x:c>
    </x:row>
    <x:row r="20" spans="1:20">
      <x:c r="A20" s="0">
        <x:v>19</x:v>
      </x:c>
      <x:c r="B20" s="0" t="s">
        <x:v>41</x:v>
      </x:c>
      <x:c r="C20" s="0" t="s">
        <x:v>21</x:v>
      </x:c>
      <x:c r="D20" s="0" t="s">
        <x:v>22</x:v>
      </x:c>
      <x:c r="E20" s="0">
        <x:v>1</x:v>
      </x:c>
      <x:c r="F20" s="0">
        <x:v>1</x:v>
      </x:c>
      <x:c r="G20" s="8">
        <x:v>300</x:v>
      </x:c>
      <x:c r="H20" s="8">
        <x:v>300</x:v>
      </x:c>
      <x:c r="I20" s="0" t="s">
        <x:v>23</x:v>
      </x:c>
      <x:c r="K20" s="8">
        <x:v>300</x:v>
      </x:c>
      <x:c r="L20" s="0" t="s">
        <x:v>24</x:v>
      </x:c>
      <x:c r="M20" s="0" t="s">
        <x:v>25</x:v>
      </x:c>
      <x:c r="N20" s="0" t="s">
        <x:v>26</x:v>
      </x:c>
      <x:c r="P20" s="0" t="s">
        <x:v>27</x:v>
      </x:c>
    </x:row>
    <x:row r="21" spans="1:20">
      <x:c r="A21" s="0">
        <x:v>20</x:v>
      </x:c>
      <x:c r="B21" s="0" t="s">
        <x:v>46</x:v>
      </x:c>
      <x:c r="C21" s="0" t="s">
        <x:v>21</x:v>
      </x:c>
      <x:c r="D21" s="0" t="s">
        <x:v>22</x:v>
      </x:c>
      <x:c r="E21" s="0">
        <x:v>1</x:v>
      </x:c>
      <x:c r="F21" s="0">
        <x:v>1</x:v>
      </x:c>
      <x:c r="G21" s="8">
        <x:v>180</x:v>
      </x:c>
      <x:c r="H21" s="8">
        <x:v>180</x:v>
      </x:c>
      <x:c r="I21" s="0" t="s">
        <x:v>23</x:v>
      </x:c>
      <x:c r="K21" s="8">
        <x:v>180</x:v>
      </x:c>
      <x:c r="L21" s="0" t="s">
        <x:v>24</x:v>
      </x:c>
      <x:c r="M21" s="0" t="s">
        <x:v>25</x:v>
      </x:c>
      <x:c r="N21" s="0" t="s">
        <x:v>26</x:v>
      </x:c>
      <x:c r="P21" s="0" t="s">
        <x:v>27</x:v>
      </x:c>
    </x:row>
    <x:row r="22" spans="1:20">
      <x:c r="A22" s="0">
        <x:v>21</x:v>
      </x:c>
      <x:c r="B22" s="0" t="s">
        <x:v>85</x:v>
      </x:c>
      <x:c r="C22" s="0" t="s">
        <x:v>21</x:v>
      </x:c>
      <x:c r="D22" s="0" t="s">
        <x:v>22</x:v>
      </x:c>
      <x:c r="E22" s="0">
        <x:v>1</x:v>
      </x:c>
      <x:c r="F22" s="0">
        <x:v>1</x:v>
      </x:c>
      <x:c r="G22" s="8">
        <x:v>980</x:v>
      </x:c>
      <x:c r="H22" s="8">
        <x:v>980</x:v>
      </x:c>
      <x:c r="I22" s="0" t="s">
        <x:v>23</x:v>
      </x:c>
      <x:c r="K22" s="8">
        <x:v>980</x:v>
      </x:c>
      <x:c r="L22" s="0" t="s">
        <x:v>24</x:v>
      </x:c>
      <x:c r="M22" s="0" t="s">
        <x:v>25</x:v>
      </x:c>
      <x:c r="N22" s="0" t="s">
        <x:v>26</x:v>
      </x:c>
      <x:c r="P22" s="0" t="s">
        <x:v>27</x:v>
      </x:c>
    </x:row>
    <x:row r="23" spans="1:20">
      <x:c r="A23" s="0">
        <x:v>22</x:v>
      </x:c>
      <x:c r="B23" s="0" t="s">
        <x:v>47</x:v>
      </x:c>
      <x:c r="C23" s="0" t="s">
        <x:v>21</x:v>
      </x:c>
      <x:c r="D23" s="0" t="s">
        <x:v>22</x:v>
      </x:c>
      <x:c r="E23" s="0">
        <x:v>1</x:v>
      </x:c>
      <x:c r="F23" s="0">
        <x:v>4</x:v>
      </x:c>
      <x:c r="G23" s="8">
        <x:v>266.23</x:v>
      </x:c>
      <x:c r="H23" s="8">
        <x:v>1064.9</x:v>
      </x:c>
      <x:c r="I23" s="0" t="s">
        <x:v>23</x:v>
      </x:c>
      <x:c r="K23" s="8">
        <x:v>1064.9</x:v>
      </x:c>
      <x:c r="L23" s="0" t="s">
        <x:v>24</x:v>
      </x:c>
      <x:c r="M23" s="0" t="s">
        <x:v>25</x:v>
      </x:c>
      <x:c r="N23" s="0" t="s">
        <x:v>26</x:v>
      </x:c>
      <x:c r="P23" s="0" t="s">
        <x:v>27</x:v>
      </x:c>
    </x:row>
    <x:row r="24" spans="1:20">
      <x:c r="A24" s="0">
        <x:v>23</x:v>
      </x:c>
      <x:c r="B24" s="0" t="s">
        <x:v>71</x:v>
      </x:c>
      <x:c r="C24" s="0" t="s">
        <x:v>21</x:v>
      </x:c>
      <x:c r="D24" s="0" t="s">
        <x:v>22</x:v>
      </x:c>
      <x:c r="E24" s="0">
        <x:v>1</x:v>
      </x:c>
      <x:c r="F24" s="0">
        <x:v>1</x:v>
      </x:c>
      <x:c r="G24" s="8">
        <x:v>150</x:v>
      </x:c>
      <x:c r="H24" s="8">
        <x:v>150</x:v>
      </x:c>
      <x:c r="I24" s="0" t="s">
        <x:v>23</x:v>
      </x:c>
      <x:c r="K24" s="8">
        <x:v>150</x:v>
      </x:c>
      <x:c r="L24" s="0" t="s">
        <x:v>24</x:v>
      </x:c>
      <x:c r="M24" s="0" t="s">
        <x:v>25</x:v>
      </x:c>
      <x:c r="N24" s="0" t="s">
        <x:v>26</x:v>
      </x:c>
      <x:c r="P24" s="0" t="s">
        <x:v>27</x:v>
      </x:c>
    </x:row>
    <x:row r="25" spans="1:20">
      <x:c r="A25" s="0">
        <x:v>24</x:v>
      </x:c>
      <x:c r="B25" s="0" t="s">
        <x:v>95</x:v>
      </x:c>
      <x:c r="C25" s="0" t="s">
        <x:v>21</x:v>
      </x:c>
      <x:c r="D25" s="0" t="s">
        <x:v>22</x:v>
      </x:c>
      <x:c r="E25" s="0">
        <x:v>1</x:v>
      </x:c>
      <x:c r="F25" s="0">
        <x:v>1</x:v>
      </x:c>
      <x:c r="G25" s="8">
        <x:v>255</x:v>
      </x:c>
      <x:c r="H25" s="8">
        <x:v>255</x:v>
      </x:c>
      <x:c r="I25" s="0" t="s">
        <x:v>23</x:v>
      </x:c>
      <x:c r="K25" s="8">
        <x:v>255</x:v>
      </x:c>
      <x:c r="L25" s="0" t="s">
        <x:v>24</x:v>
      </x:c>
      <x:c r="M25" s="0" t="s">
        <x:v>25</x:v>
      </x:c>
      <x:c r="N25" s="0" t="s">
        <x:v>26</x:v>
      </x:c>
      <x:c r="P25" s="0" t="s">
        <x:v>27</x:v>
      </x:c>
    </x:row>
    <x:row r="26" spans="1:20">
      <x:c r="A26" s="0">
        <x:v>25</x:v>
      </x:c>
      <x:c r="B26" s="0" t="s">
        <x:v>50</x:v>
      </x:c>
      <x:c r="C26" s="0" t="s">
        <x:v>21</x:v>
      </x:c>
      <x:c r="D26" s="0" t="s">
        <x:v>22</x:v>
      </x:c>
      <x:c r="E26" s="0">
        <x:v>1</x:v>
      </x:c>
      <x:c r="F26" s="0">
        <x:v>2</x:v>
      </x:c>
      <x:c r="G26" s="8">
        <x:v>180</x:v>
      </x:c>
      <x:c r="H26" s="8">
        <x:v>360</x:v>
      </x:c>
      <x:c r="I26" s="0" t="s">
        <x:v>23</x:v>
      </x:c>
      <x:c r="K26" s="8">
        <x:v>360</x:v>
      </x:c>
      <x:c r="L26" s="0" t="s">
        <x:v>24</x:v>
      </x:c>
      <x:c r="M26" s="0" t="s">
        <x:v>25</x:v>
      </x:c>
      <x:c r="N26" s="0" t="s">
        <x:v>26</x:v>
      </x:c>
      <x:c r="P26" s="0" t="s">
        <x:v>27</x:v>
      </x:c>
    </x:row>
    <x:row r="27" spans="1:20">
      <x:c r="A27" s="0">
        <x:v>26</x:v>
      </x:c>
      <x:c r="B27" s="0" t="s">
        <x:v>51</x:v>
      </x:c>
      <x:c r="C27" s="0" t="s">
        <x:v>21</x:v>
      </x:c>
      <x:c r="D27" s="0" t="s">
        <x:v>22</x:v>
      </x:c>
      <x:c r="E27" s="0">
        <x:v>1</x:v>
      </x:c>
      <x:c r="F27" s="0">
        <x:v>5</x:v>
      </x:c>
      <x:c r="G27" s="8">
        <x:v>57.97</x:v>
      </x:c>
      <x:c r="H27" s="8">
        <x:v>289.86</x:v>
      </x:c>
      <x:c r="I27" s="0" t="s">
        <x:v>23</x:v>
      </x:c>
      <x:c r="K27" s="8">
        <x:v>289.86</x:v>
      </x:c>
      <x:c r="L27" s="0" t="s">
        <x:v>24</x:v>
      </x:c>
      <x:c r="M27" s="0" t="s">
        <x:v>25</x:v>
      </x:c>
      <x:c r="N27" s="0" t="s">
        <x:v>26</x:v>
      </x:c>
      <x:c r="P27" s="0" t="s">
        <x:v>27</x:v>
      </x:c>
    </x:row>
    <x:row r="28" spans="1:20">
      <x:c r="A28" s="0">
        <x:v>27</x:v>
      </x:c>
      <x:c r="B28" s="0" t="s">
        <x:v>52</x:v>
      </x:c>
      <x:c r="C28" s="0" t="s">
        <x:v>21</x:v>
      </x:c>
      <x:c r="D28" s="0" t="s">
        <x:v>22</x:v>
      </x:c>
      <x:c r="E28" s="0">
        <x:v>1</x:v>
      </x:c>
      <x:c r="F28" s="0">
        <x:v>2</x:v>
      </x:c>
      <x:c r="G28" s="8">
        <x:v>229.5</x:v>
      </x:c>
      <x:c r="H28" s="8">
        <x:v>459</x:v>
      </x:c>
      <x:c r="I28" s="0" t="s">
        <x:v>23</x:v>
      </x:c>
      <x:c r="K28" s="8">
        <x:v>459</x:v>
      </x:c>
      <x:c r="L28" s="0" t="s">
        <x:v>24</x:v>
      </x:c>
      <x:c r="M28" s="0" t="s">
        <x:v>25</x:v>
      </x:c>
      <x:c r="N28" s="0" t="s">
        <x:v>26</x:v>
      </x:c>
      <x:c r="P28" s="0" t="s">
        <x:v>27</x:v>
      </x:c>
    </x:row>
    <x:row r="29" spans="1:20">
      <x:c r="A29" s="0">
        <x:v>28</x:v>
      </x:c>
      <x:c r="B29" s="0" t="s">
        <x:v>53</x:v>
      </x:c>
      <x:c r="C29" s="0" t="s">
        <x:v>21</x:v>
      </x:c>
      <x:c r="D29" s="0" t="s">
        <x:v>22</x:v>
      </x:c>
      <x:c r="E29" s="0">
        <x:v>1</x:v>
      </x:c>
      <x:c r="F29" s="0">
        <x:v>6</x:v>
      </x:c>
      <x:c r="G29" s="8">
        <x:v>39.87</x:v>
      </x:c>
      <x:c r="H29" s="8">
        <x:v>239.24</x:v>
      </x:c>
      <x:c r="I29" s="0" t="s">
        <x:v>23</x:v>
      </x:c>
      <x:c r="K29" s="8">
        <x:v>239.24</x:v>
      </x:c>
      <x:c r="L29" s="0" t="s">
        <x:v>24</x:v>
      </x:c>
      <x:c r="M29" s="0" t="s">
        <x:v>25</x:v>
      </x:c>
      <x:c r="N29" s="0" t="s">
        <x:v>26</x:v>
      </x:c>
      <x:c r="P29" s="0" t="s">
        <x:v>27</x:v>
      </x:c>
    </x:row>
    <x:row r="30" spans="1:20">
      <x:c r="A30" s="0">
        <x:v>29</x:v>
      </x:c>
      <x:c r="B30" s="0" t="s">
        <x:v>55</x:v>
      </x:c>
      <x:c r="C30" s="0" t="s">
        <x:v>21</x:v>
      </x:c>
      <x:c r="D30" s="0" t="s">
        <x:v>22</x:v>
      </x:c>
      <x:c r="E30" s="0">
        <x:v>1</x:v>
      </x:c>
      <x:c r="F30" s="0">
        <x:v>4</x:v>
      </x:c>
      <x:c r="G30" s="8">
        <x:v>350</x:v>
      </x:c>
      <x:c r="H30" s="8">
        <x:v>1400</x:v>
      </x:c>
      <x:c r="I30" s="0" t="s">
        <x:v>23</x:v>
      </x:c>
      <x:c r="K30" s="8">
        <x:v>1400</x:v>
      </x:c>
      <x:c r="L30" s="0" t="s">
        <x:v>24</x:v>
      </x:c>
      <x:c r="M30" s="0" t="s">
        <x:v>25</x:v>
      </x:c>
      <x:c r="N30" s="0" t="s">
        <x:v>26</x:v>
      </x:c>
      <x:c r="P30" s="0" t="s">
        <x:v>27</x:v>
      </x:c>
    </x:row>
    <x:row r="31" spans="1:20">
      <x:c r="A31" s="0">
        <x:v>30</x:v>
      </x:c>
      <x:c r="B31" s="0" t="s">
        <x:v>155</x:v>
      </x:c>
      <x:c r="C31" s="0" t="s">
        <x:v>21</x:v>
      </x:c>
      <x:c r="D31" s="0" t="s">
        <x:v>22</x:v>
      </x:c>
      <x:c r="E31" s="0">
        <x:v>1</x:v>
      </x:c>
      <x:c r="F31" s="0">
        <x:v>2</x:v>
      </x:c>
      <x:c r="G31" s="8">
        <x:v>180</x:v>
      </x:c>
      <x:c r="H31" s="8">
        <x:v>360</x:v>
      </x:c>
      <x:c r="I31" s="0" t="s">
        <x:v>23</x:v>
      </x:c>
      <x:c r="K31" s="8">
        <x:v>360</x:v>
      </x:c>
      <x:c r="L31" s="0" t="s">
        <x:v>24</x:v>
      </x:c>
      <x:c r="M31" s="0" t="s">
        <x:v>25</x:v>
      </x:c>
      <x:c r="N31" s="0" t="s">
        <x:v>26</x:v>
      </x:c>
      <x:c r="P31" s="0" t="s">
        <x:v>27</x:v>
      </x:c>
    </x:row>
    <x:row r="32" spans="1:20">
      <x:c r="A32" s="0">
        <x:v>31</x:v>
      </x:c>
      <x:c r="B32" s="0" t="s">
        <x:v>57</x:v>
      </x:c>
      <x:c r="C32" s="0" t="s">
        <x:v>21</x:v>
      </x:c>
      <x:c r="D32" s="0" t="s">
        <x:v>22</x:v>
      </x:c>
      <x:c r="E32" s="0">
        <x:v>1</x:v>
      </x:c>
      <x:c r="F32" s="0">
        <x:v>4</x:v>
      </x:c>
      <x:c r="G32" s="8">
        <x:v>149.25</x:v>
      </x:c>
      <x:c r="H32" s="8">
        <x:v>597</x:v>
      </x:c>
      <x:c r="I32" s="0" t="s">
        <x:v>23</x:v>
      </x:c>
      <x:c r="K32" s="8">
        <x:v>597</x:v>
      </x:c>
      <x:c r="L32" s="0" t="s">
        <x:v>24</x:v>
      </x:c>
      <x:c r="M32" s="0" t="s">
        <x:v>25</x:v>
      </x:c>
      <x:c r="N32" s="0" t="s">
        <x:v>26</x:v>
      </x:c>
      <x:c r="P32" s="0" t="s">
        <x:v>27</x:v>
      </x:c>
    </x:row>
    <x:row r="33" spans="1:20">
      <x:c r="A33" s="0">
        <x:v>32</x:v>
      </x:c>
      <x:c r="B33" s="0" t="s">
        <x:v>58</x:v>
      </x:c>
      <x:c r="C33" s="0" t="s">
        <x:v>21</x:v>
      </x:c>
      <x:c r="D33" s="0" t="s">
        <x:v>22</x:v>
      </x:c>
      <x:c r="E33" s="0">
        <x:v>1</x:v>
      </x:c>
      <x:c r="F33" s="0">
        <x:v>1</x:v>
      </x:c>
      <x:c r="G33" s="8">
        <x:v>252</x:v>
      </x:c>
      <x:c r="H33" s="8">
        <x:v>252</x:v>
      </x:c>
      <x:c r="I33" s="0" t="s">
        <x:v>23</x:v>
      </x:c>
      <x:c r="K33" s="8">
        <x:v>252</x:v>
      </x:c>
      <x:c r="L33" s="0" t="s">
        <x:v>24</x:v>
      </x:c>
      <x:c r="M33" s="0" t="s">
        <x:v>25</x:v>
      </x:c>
      <x:c r="N33" s="0" t="s">
        <x:v>26</x:v>
      </x:c>
      <x:c r="P33" s="0" t="s">
        <x:v>27</x:v>
      </x:c>
    </x:row>
    <x:row r="34" spans="1:20">
      <x:c r="A34" s="0">
        <x:v>33</x:v>
      </x:c>
      <x:c r="B34" s="0" t="s">
        <x:v>116</x:v>
      </x:c>
      <x:c r="C34" s="0" t="s">
        <x:v>21</x:v>
      </x:c>
      <x:c r="D34" s="0" t="s">
        <x:v>22</x:v>
      </x:c>
      <x:c r="E34" s="0">
        <x:v>1</x:v>
      </x:c>
      <x:c r="F34" s="0">
        <x:v>1</x:v>
      </x:c>
      <x:c r="G34" s="8">
        <x:v>580</x:v>
      </x:c>
      <x:c r="H34" s="8">
        <x:v>580</x:v>
      </x:c>
      <x:c r="I34" s="0" t="s">
        <x:v>23</x:v>
      </x:c>
      <x:c r="K34" s="8">
        <x:v>580</x:v>
      </x:c>
      <x:c r="L34" s="0" t="s">
        <x:v>24</x:v>
      </x:c>
      <x:c r="M34" s="0" t="s">
        <x:v>25</x:v>
      </x:c>
      <x:c r="N34" s="0" t="s">
        <x:v>26</x:v>
      </x:c>
      <x:c r="P34" s="0" t="s">
        <x:v>27</x:v>
      </x:c>
    </x:row>
    <x:row r="35" spans="1:20">
      <x:c r="H35" s="18">
        <x:f>SUM(H2:H34)</x:f>
      </x:c>
    </x:row>
    <x:row r="37" spans="1:20">
      <x:c r="B37" s="19" t="s">
        <x:v>163</x:v>
      </x:c>
      <x:c r="C37" s="20"/>
      <x:c r="D37" s="20"/>
      <x:c r="E37" s="20"/>
      <x:c r="F37" s="20"/>
      <x:c r="G37" s="20"/>
      <x:c r="H37" s="21">
        <x:f>SUM(H38:H40)</x:f>
      </x:c>
      <x:c r="I37" s="22" t="s">
        <x:v>164</x:v>
      </x:c>
    </x:row>
    <x:row r="38" spans="1:20">
      <x:c r="B38" s="21" t="s">
        <x:v>165</x:v>
      </x:c>
      <x:c r="C38" s="21"/>
      <x:c r="D38" s="21"/>
      <x:c r="E38" s="21"/>
      <x:c r="F38" s="20">
        <x:f>F2+F3+F4+F5+F6+F7+F14+F16+F18+F19+F20+F23+F24+F25+F28+F32+F33</x:f>
      </x:c>
      <x:c r="G38" s="20">
        <x:f>G2+G3+G4+G5+G6+G7+G14+G16+G18+G19+G20+G23+G24+G25+G28+G32+G33</x:f>
      </x:c>
      <x:c r="H38" s="20">
        <x:f>H2+H3+H4+H5+H6+H7+H14+H16+H18+H19+H20+H23+H24+H25+H28+H32+H33</x:f>
      </x:c>
      <x:c r="I38" s="15"/>
    </x:row>
    <x:row r="39" spans="1:20">
      <x:c r="B39" s="21" t="s">
        <x:v>166</x:v>
      </x:c>
      <x:c r="C39" s="21"/>
      <x:c r="D39" s="21"/>
      <x:c r="E39" s="21"/>
      <x:c r="F39" s="20"/>
      <x:c r="G39" s="20"/>
      <x:c r="H39" s="20"/>
      <x:c r="I39" s="15"/>
    </x:row>
    <x:row r="40" spans="1:20">
      <x:c r="B40" s="21" t="s">
        <x:v>167</x:v>
      </x:c>
      <x:c r="C40" s="21"/>
      <x:c r="D40" s="21"/>
      <x:c r="E40" s="21"/>
      <x:c r="F40" s="20">
        <x:f>F8+F27+F29</x:f>
      </x:c>
      <x:c r="G40" s="20">
        <x:f>G8+G27+G29</x:f>
      </x:c>
      <x:c r="H40" s="20">
        <x:f>H8+H27+H29</x:f>
      </x:c>
      <x:c r="I40" s="15"/>
    </x:row>
    <x:row r="41" spans="1:20">
      <x:c r="B41" s="19" t="s">
        <x:v>168</x:v>
      </x:c>
      <x:c r="C41" s="20"/>
      <x:c r="D41" s="20"/>
      <x:c r="E41" s="20"/>
      <x:c r="F41" s="20"/>
      <x:c r="G41" s="20"/>
      <x:c r="H41" s="21">
        <x:f>SUM(H42:H48)</x:f>
      </x:c>
      <x:c r="I41" s="22" t="s">
        <x:v>169</x:v>
      </x:c>
    </x:row>
    <x:row r="42" spans="1:20">
      <x:c r="B42" s="21" t="s">
        <x:v>170</x:v>
      </x:c>
      <x:c r="C42" s="21"/>
      <x:c r="D42" s="21"/>
      <x:c r="E42" s="21"/>
      <x:c r="F42" s="20">
        <x:f>F10+F11+F12</x:f>
      </x:c>
      <x:c r="G42" s="20">
        <x:f>G10+G11+G12</x:f>
      </x:c>
      <x:c r="H42" s="20">
        <x:f>H10+H11+H12</x:f>
      </x:c>
      <x:c r="I42" s="15"/>
    </x:row>
    <x:row r="43" spans="1:20">
      <x:c r="B43" s="21" t="s">
        <x:v>171</x:v>
      </x:c>
      <x:c r="C43" s="21"/>
      <x:c r="D43" s="21"/>
      <x:c r="E43" s="21"/>
      <x:c r="F43" s="20">
        <x:f>F17</x:f>
      </x:c>
      <x:c r="G43" s="20">
        <x:f>G17</x:f>
      </x:c>
      <x:c r="H43" s="20">
        <x:f>H17</x:f>
      </x:c>
      <x:c r="I43" s="15"/>
    </x:row>
    <x:row r="44" spans="1:20">
      <x:c r="B44" s="21" t="s">
        <x:v>172</x:v>
      </x:c>
      <x:c r="C44" s="21"/>
      <x:c r="D44" s="21"/>
      <x:c r="E44" s="21"/>
      <x:c r="F44" s="20">
        <x:f>F9</x:f>
      </x:c>
      <x:c r="G44" s="20">
        <x:f>G9</x:f>
      </x:c>
      <x:c r="H44" s="20">
        <x:f>H9</x:f>
      </x:c>
      <x:c r="I44" s="15"/>
    </x:row>
    <x:row r="45" spans="1:20">
      <x:c r="B45" s="21" t="s">
        <x:v>173</x:v>
      </x:c>
      <x:c r="C45" s="21"/>
      <x:c r="D45" s="21"/>
      <x:c r="E45" s="21"/>
      <x:c r="F45" s="20"/>
      <x:c r="G45" s="20"/>
      <x:c r="H45" s="20"/>
      <x:c r="I45" s="15"/>
    </x:row>
    <x:row r="46" spans="1:20">
      <x:c r="B46" s="21" t="s">
        <x:v>174</x:v>
      </x:c>
      <x:c r="C46" s="21"/>
      <x:c r="D46" s="21"/>
      <x:c r="E46" s="21"/>
      <x:c r="F46" s="20">
        <x:f>F13+F22</x:f>
      </x:c>
      <x:c r="G46" s="20">
        <x:f>G13+G22</x:f>
      </x:c>
      <x:c r="H46" s="20">
        <x:f>H13+H22</x:f>
      </x:c>
      <x:c r="I46" s="15"/>
    </x:row>
    <x:row r="47" spans="1:20">
      <x:c r="B47" s="21" t="s">
        <x:v>70</x:v>
      </x:c>
      <x:c r="C47" s="21"/>
      <x:c r="D47" s="21"/>
      <x:c r="E47" s="21"/>
      <x:c r="F47" s="20">
        <x:f>F15</x:f>
      </x:c>
      <x:c r="G47" s="20">
        <x:f>G15</x:f>
      </x:c>
      <x:c r="H47" s="20">
        <x:f>H15</x:f>
      </x:c>
      <x:c r="I47" s="15"/>
    </x:row>
    <x:row r="48" spans="1:20">
      <x:c r="B48" s="21" t="s">
        <x:v>175</x:v>
      </x:c>
      <x:c r="C48" s="21"/>
      <x:c r="D48" s="21"/>
      <x:c r="E48" s="21"/>
      <x:c r="F48" s="20">
        <x:f>F34</x:f>
      </x:c>
      <x:c r="G48" s="20">
        <x:f>G34</x:f>
      </x:c>
      <x:c r="H48" s="20">
        <x:f>H34</x:f>
      </x:c>
      <x:c r="I48" s="15"/>
    </x:row>
    <x:row r="49" spans="1:20">
      <x:c r="B49" s="19" t="s">
        <x:v>176</x:v>
      </x:c>
      <x:c r="C49" s="20"/>
      <x:c r="D49" s="20"/>
      <x:c r="E49" s="20"/>
      <x:c r="F49" s="20"/>
      <x:c r="G49" s="20"/>
      <x:c r="H49" s="21">
        <x:f>SUM(H50:H55)</x:f>
      </x:c>
      <x:c r="I49" s="22" t="s">
        <x:v>177</x:v>
      </x:c>
    </x:row>
    <x:row r="50" spans="1:20">
      <x:c r="B50" s="21" t="s">
        <x:v>178</x:v>
      </x:c>
      <x:c r="C50" s="21"/>
      <x:c r="D50" s="21"/>
      <x:c r="E50" s="21"/>
      <x:c r="F50" s="20"/>
      <x:c r="G50" s="20"/>
      <x:c r="H50" s="20"/>
      <x:c r="I50" s="15"/>
    </x:row>
    <x:row r="51" spans="1:20">
      <x:c r="B51" s="21" t="s">
        <x:v>179</x:v>
      </x:c>
      <x:c r="C51" s="21"/>
      <x:c r="D51" s="21"/>
      <x:c r="E51" s="21"/>
      <x:c r="F51" s="20">
        <x:f>F30</x:f>
      </x:c>
      <x:c r="G51" s="20">
        <x:f>G30</x:f>
      </x:c>
      <x:c r="H51" s="20">
        <x:f>H30</x:f>
      </x:c>
      <x:c r="I51" s="15"/>
    </x:row>
    <x:row r="52" spans="1:20">
      <x:c r="B52" s="21" t="s">
        <x:v>54</x:v>
      </x:c>
      <x:c r="C52" s="21"/>
      <x:c r="D52" s="21"/>
      <x:c r="E52" s="21"/>
      <x:c r="F52" s="20"/>
      <x:c r="G52" s="20"/>
      <x:c r="H52" s="20"/>
      <x:c r="I52" s="15"/>
    </x:row>
    <x:row r="53" spans="1:20">
      <x:c r="B53" s="21" t="s">
        <x:v>180</x:v>
      </x:c>
      <x:c r="C53" s="21"/>
      <x:c r="D53" s="21"/>
      <x:c r="E53" s="21"/>
      <x:c r="F53" s="20"/>
      <x:c r="G53" s="20"/>
      <x:c r="H53" s="20"/>
      <x:c r="I53" s="15"/>
    </x:row>
    <x:row r="54" spans="1:20">
      <x:c r="B54" s="21" t="s">
        <x:v>181</x:v>
      </x:c>
      <x:c r="C54" s="21"/>
      <x:c r="D54" s="21"/>
      <x:c r="E54" s="21"/>
      <x:c r="F54" s="20">
        <x:f>F21+F26+F31</x:f>
      </x:c>
      <x:c r="G54" s="20">
        <x:f>G21+G26+G31</x:f>
      </x:c>
      <x:c r="H54" s="20">
        <x:f>H21+H26+H31</x:f>
      </x:c>
      <x:c r="I54" s="15"/>
    </x:row>
    <x:row r="55" spans="1:20">
      <x:c r="B55" s="21" t="s">
        <x:v>182</x:v>
      </x:c>
      <x:c r="C55" s="21"/>
      <x:c r="D55" s="21"/>
      <x:c r="E55" s="21"/>
      <x:c r="F55" s="20"/>
      <x:c r="G55" s="20"/>
      <x:c r="H55" s="20"/>
      <x:c r="I55" s="15"/>
    </x:row>
    <x:row r="56" spans="1:20">
      <x:c r="B56" s="19" t="s">
        <x:v>183</x:v>
      </x:c>
      <x:c r="C56" s="20"/>
      <x:c r="D56" s="20"/>
      <x:c r="E56" s="20"/>
      <x:c r="F56" s="20"/>
      <x:c r="G56" s="20"/>
      <x:c r="H56" s="21">
        <x:f>SUM(H57:H58)</x:f>
      </x:c>
      <x:c r="I56" s="22"/>
    </x:row>
    <x:row r="57" spans="1:20">
      <x:c r="B57" s="21" t="s">
        <x:v>184</x:v>
      </x:c>
      <x:c r="C57" s="21"/>
      <x:c r="D57" s="21"/>
      <x:c r="E57" s="21"/>
      <x:c r="F57" s="20"/>
      <x:c r="G57" s="20"/>
      <x:c r="H57" s="20"/>
      <x:c r="I57" s="15"/>
    </x:row>
    <x:row r="58" spans="1:20">
      <x:c r="B58" s="21" t="s">
        <x:v>185</x:v>
      </x:c>
      <x:c r="C58" s="21"/>
      <x:c r="D58" s="21"/>
      <x:c r="E58" s="21"/>
      <x:c r="F58" s="20"/>
      <x:c r="G58" s="20"/>
      <x:c r="H58" s="20"/>
      <x:c r="I58" s="15"/>
    </x:row>
    <x:row r="59" spans="1:20">
      <x:c r="B59" s="22"/>
      <x:c r="C59" s="22"/>
      <x:c r="D59" s="22"/>
      <x:c r="E59" s="22"/>
      <x:c r="F59" s="15"/>
      <x:c r="G59" s="15"/>
      <x:c r="H59" s="22">
        <x:f>H37+H41+H49+H56</x:f>
      </x:c>
      <x:c r="I59" s="15"/>
    </x:row>
    <x:row r="60" spans="1:20">
      <x:c r="H60" s="17">
        <x:f>H59 - H35</x:f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0E42D8B-F20D-AF42-92DF-B14852DC7B35}" mc:Ignorable="x14ac xr xr2 xr3">
  <x:sheetPr>
    <x:outlinePr summaryBelow="1" summaryRight="1"/>
  </x:sheetPr>
  <x:dimension ref="A1:T39"/>
  <x:sheetViews>
    <x:sheetView topLeftCell="C20" workbookViewId="0"/>
  </x:sheetViews>
  <x:sheetFormatPr defaultColWidth="11.085625" defaultRowHeight="15.75"/>
  <x:sheetData>
    <x:row r="1" spans="1:2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</x:row>
    <x:row r="2" spans="1:20">
      <x:c r="A2" s="0">
        <x:v>1</x:v>
      </x:c>
      <x:c r="B2" s="0" t="s">
        <x:v>99</x:v>
      </x:c>
      <x:c r="C2" s="0" t="s">
        <x:v>21</x:v>
      </x:c>
      <x:c r="D2" s="0" t="s">
        <x:v>34</x:v>
      </x:c>
      <x:c r="E2" s="0">
        <x:v>1</x:v>
      </x:c>
      <x:c r="F2" s="0">
        <x:v>0.1</x:v>
      </x:c>
      <x:c r="G2" s="8">
        <x:v>5310</x:v>
      </x:c>
      <x:c r="H2" s="8">
        <x:v>531</x:v>
      </x:c>
      <x:c r="I2" s="0" t="s">
        <x:v>23</x:v>
      </x:c>
      <x:c r="K2" s="8">
        <x:v>531</x:v>
      </x:c>
      <x:c r="L2" s="0" t="s">
        <x:v>24</x:v>
      </x:c>
      <x:c r="M2" s="0" t="s">
        <x:v>25</x:v>
      </x:c>
      <x:c r="N2" s="0" t="s">
        <x:v>26</x:v>
      </x:c>
      <x:c r="P2" s="0" t="s">
        <x:v>27</x:v>
      </x:c>
    </x:row>
    <x:row r="3" spans="1:20">
      <x:c r="A3" s="0">
        <x:v>2</x:v>
      </x:c>
      <x:c r="B3" s="0" t="s">
        <x:v>20</x:v>
      </x:c>
      <x:c r="C3" s="0" t="s">
        <x:v>21</x:v>
      </x:c>
      <x:c r="D3" s="0" t="s">
        <x:v>22</x:v>
      </x:c>
      <x:c r="E3" s="0">
        <x:v>1</x:v>
      </x:c>
      <x:c r="F3" s="0">
        <x:v>4</x:v>
      </x:c>
      <x:c r="G3" s="8">
        <x:v>149.84</x:v>
      </x:c>
      <x:c r="H3" s="8">
        <x:v>599.35</x:v>
      </x:c>
      <x:c r="I3" s="0" t="s">
        <x:v>23</x:v>
      </x:c>
      <x:c r="K3" s="8">
        <x:v>599.35</x:v>
      </x:c>
      <x:c r="L3" s="0" t="s">
        <x:v>24</x:v>
      </x:c>
      <x:c r="M3" s="0" t="s">
        <x:v>25</x:v>
      </x:c>
      <x:c r="N3" s="0" t="s">
        <x:v>26</x:v>
      </x:c>
      <x:c r="P3" s="0" t="s">
        <x:v>27</x:v>
      </x:c>
    </x:row>
    <x:row r="4" spans="1:20">
      <x:c r="A4" s="0">
        <x:v>3</x:v>
      </x:c>
      <x:c r="B4" s="0" t="s">
        <x:v>74</x:v>
      </x:c>
      <x:c r="C4" s="0" t="s">
        <x:v>21</x:v>
      </x:c>
      <x:c r="D4" s="0" t="s">
        <x:v>22</x:v>
      </x:c>
      <x:c r="E4" s="0">
        <x:v>1</x:v>
      </x:c>
      <x:c r="F4" s="0">
        <x:v>2</x:v>
      </x:c>
      <x:c r="G4" s="8">
        <x:v>231.25</x:v>
      </x:c>
      <x:c r="H4" s="8">
        <x:v>462.5</x:v>
      </x:c>
      <x:c r="I4" s="0" t="s">
        <x:v>23</x:v>
      </x:c>
      <x:c r="K4" s="8">
        <x:v>462.5</x:v>
      </x:c>
      <x:c r="L4" s="0" t="s">
        <x:v>24</x:v>
      </x:c>
      <x:c r="M4" s="0" t="s">
        <x:v>25</x:v>
      </x:c>
      <x:c r="N4" s="0" t="s">
        <x:v>26</x:v>
      </x:c>
      <x:c r="P4" s="0" t="s">
        <x:v>27</x:v>
      </x:c>
    </x:row>
    <x:row r="5" spans="1:20">
      <x:c r="A5" s="0">
        <x:v>4</x:v>
      </x:c>
      <x:c r="B5" s="0" t="s">
        <x:v>29</x:v>
      </x:c>
      <x:c r="C5" s="0" t="s">
        <x:v>21</x:v>
      </x:c>
      <x:c r="D5" s="0" t="s">
        <x:v>22</x:v>
      </x:c>
      <x:c r="E5" s="0">
        <x:v>1</x:v>
      </x:c>
      <x:c r="F5" s="0">
        <x:v>5</x:v>
      </x:c>
      <x:c r="G5" s="8">
        <x:v>237.4</x:v>
      </x:c>
      <x:c r="H5" s="8">
        <x:v>1187</x:v>
      </x:c>
      <x:c r="I5" s="0" t="s">
        <x:v>23</x:v>
      </x:c>
      <x:c r="K5" s="8">
        <x:v>1187</x:v>
      </x:c>
      <x:c r="L5" s="0" t="s">
        <x:v>24</x:v>
      </x:c>
      <x:c r="M5" s="0" t="s">
        <x:v>25</x:v>
      </x:c>
      <x:c r="N5" s="0" t="s">
        <x:v>26</x:v>
      </x:c>
      <x:c r="P5" s="0" t="s">
        <x:v>27</x:v>
      </x:c>
    </x:row>
    <x:row r="6" spans="1:20">
      <x:c r="A6" s="0">
        <x:v>5</x:v>
      </x:c>
      <x:c r="B6" s="0" t="s">
        <x:v>30</x:v>
      </x:c>
      <x:c r="C6" s="0" t="s">
        <x:v>21</x:v>
      </x:c>
      <x:c r="D6" s="0" t="s">
        <x:v>22</x:v>
      </x:c>
      <x:c r="E6" s="0">
        <x:v>1</x:v>
      </x:c>
      <x:c r="F6" s="0">
        <x:v>8</x:v>
      </x:c>
      <x:c r="G6" s="8">
        <x:v>323</x:v>
      </x:c>
      <x:c r="H6" s="8">
        <x:v>2584</x:v>
      </x:c>
      <x:c r="I6" s="0" t="s">
        <x:v>23</x:v>
      </x:c>
      <x:c r="K6" s="8">
        <x:v>2584</x:v>
      </x:c>
      <x:c r="L6" s="0" t="s">
        <x:v>24</x:v>
      </x:c>
      <x:c r="M6" s="0" t="s">
        <x:v>25</x:v>
      </x:c>
      <x:c r="N6" s="0" t="s">
        <x:v>26</x:v>
      </x:c>
      <x:c r="P6" s="0" t="s">
        <x:v>27</x:v>
      </x:c>
    </x:row>
    <x:row r="7" spans="1:20">
      <x:c r="A7" s="0">
        <x:v>6</x:v>
      </x:c>
      <x:c r="B7" s="0" t="s">
        <x:v>31</x:v>
      </x:c>
      <x:c r="C7" s="0" t="s">
        <x:v>21</x:v>
      </x:c>
      <x:c r="D7" s="0" t="s">
        <x:v>22</x:v>
      </x:c>
      <x:c r="E7" s="0">
        <x:v>1</x:v>
      </x:c>
      <x:c r="F7" s="0">
        <x:v>1</x:v>
      </x:c>
      <x:c r="G7" s="8">
        <x:v>100</x:v>
      </x:c>
      <x:c r="H7" s="8">
        <x:v>100</x:v>
      </x:c>
      <x:c r="I7" s="0" t="s">
        <x:v>23</x:v>
      </x:c>
      <x:c r="K7" s="8">
        <x:v>100</x:v>
      </x:c>
      <x:c r="L7" s="0" t="s">
        <x:v>24</x:v>
      </x:c>
      <x:c r="M7" s="0" t="s">
        <x:v>25</x:v>
      </x:c>
      <x:c r="N7" s="0" t="s">
        <x:v>26</x:v>
      </x:c>
      <x:c r="P7" s="0" t="s">
        <x:v>27</x:v>
      </x:c>
    </x:row>
    <x:row r="8" spans="1:20">
      <x:c r="A8" s="0">
        <x:v>7</x:v>
      </x:c>
      <x:c r="B8" s="0" t="s">
        <x:v>150</x:v>
      </x:c>
      <x:c r="C8" s="0" t="s">
        <x:v>21</x:v>
      </x:c>
      <x:c r="D8" s="0" t="s">
        <x:v>34</x:v>
      </x:c>
      <x:c r="E8" s="0">
        <x:v>1</x:v>
      </x:c>
      <x:c r="F8" s="0">
        <x:v>0.05</x:v>
      </x:c>
      <x:c r="G8" s="8">
        <x:v>3200</x:v>
      </x:c>
      <x:c r="H8" s="8">
        <x:v>160</x:v>
      </x:c>
      <x:c r="I8" s="0" t="s">
        <x:v>23</x:v>
      </x:c>
      <x:c r="K8" s="8">
        <x:v>160</x:v>
      </x:c>
      <x:c r="L8" s="0" t="s">
        <x:v>24</x:v>
      </x:c>
      <x:c r="M8" s="0" t="s">
        <x:v>25</x:v>
      </x:c>
      <x:c r="N8" s="0" t="s">
        <x:v>26</x:v>
      </x:c>
      <x:c r="P8" s="0" t="s">
        <x:v>27</x:v>
      </x:c>
    </x:row>
    <x:row r="9" spans="1:20">
      <x:c r="A9" s="0">
        <x:v>8</x:v>
      </x:c>
      <x:c r="B9" s="0" t="s">
        <x:v>79</x:v>
      </x:c>
      <x:c r="C9" s="0" t="s">
        <x:v>21</x:v>
      </x:c>
      <x:c r="D9" s="0" t="s">
        <x:v>34</x:v>
      </x:c>
      <x:c r="E9" s="0">
        <x:v>1</x:v>
      </x:c>
      <x:c r="F9" s="0">
        <x:v>0.6</x:v>
      </x:c>
      <x:c r="G9" s="8">
        <x:v>2016.5</x:v>
      </x:c>
      <x:c r="H9" s="8">
        <x:v>1209.9</x:v>
      </x:c>
      <x:c r="I9" s="0" t="s">
        <x:v>23</x:v>
      </x:c>
      <x:c r="K9" s="8">
        <x:v>1209.9</x:v>
      </x:c>
      <x:c r="L9" s="0" t="s">
        <x:v>24</x:v>
      </x:c>
      <x:c r="M9" s="0" t="s">
        <x:v>25</x:v>
      </x:c>
      <x:c r="N9" s="0" t="s">
        <x:v>26</x:v>
      </x:c>
      <x:c r="P9" s="0" t="s">
        <x:v>27</x:v>
      </x:c>
    </x:row>
    <x:row r="10" spans="1:20">
      <x:c r="A10" s="0">
        <x:v>9</x:v>
      </x:c>
      <x:c r="B10" s="0" t="s">
        <x:v>63</x:v>
      </x:c>
      <x:c r="C10" s="0" t="s">
        <x:v>21</x:v>
      </x:c>
      <x:c r="D10" s="0" t="s">
        <x:v>34</x:v>
      </x:c>
      <x:c r="E10" s="0">
        <x:v>1</x:v>
      </x:c>
      <x:c r="F10" s="0">
        <x:v>0.084</x:v>
      </x:c>
      <x:c r="G10" s="8">
        <x:v>6580</x:v>
      </x:c>
      <x:c r="H10" s="8">
        <x:v>552.72</x:v>
      </x:c>
      <x:c r="I10" s="0" t="s">
        <x:v>23</x:v>
      </x:c>
      <x:c r="K10" s="8">
        <x:v>552.72</x:v>
      </x:c>
      <x:c r="L10" s="0" t="s">
        <x:v>24</x:v>
      </x:c>
      <x:c r="M10" s="0" t="s">
        <x:v>25</x:v>
      </x:c>
      <x:c r="N10" s="0" t="s">
        <x:v>26</x:v>
      </x:c>
      <x:c r="P10" s="0" t="s">
        <x:v>27</x:v>
      </x:c>
    </x:row>
    <x:row r="11" spans="1:20">
      <x:c r="A11" s="0">
        <x:v>10</x:v>
      </x:c>
      <x:c r="B11" s="0" t="s">
        <x:v>114</x:v>
      </x:c>
      <x:c r="C11" s="0" t="s">
        <x:v>21</x:v>
      </x:c>
      <x:c r="D11" s="0" t="s">
        <x:v>34</x:v>
      </x:c>
      <x:c r="E11" s="0">
        <x:v>1</x:v>
      </x:c>
      <x:c r="F11" s="0">
        <x:v>0.072</x:v>
      </x:c>
      <x:c r="G11" s="8">
        <x:v>2380</x:v>
      </x:c>
      <x:c r="H11" s="8">
        <x:v>171.36</x:v>
      </x:c>
      <x:c r="I11" s="0" t="s">
        <x:v>23</x:v>
      </x:c>
      <x:c r="K11" s="8">
        <x:v>171.36</x:v>
      </x:c>
      <x:c r="L11" s="0" t="s">
        <x:v>24</x:v>
      </x:c>
      <x:c r="M11" s="0" t="s">
        <x:v>25</x:v>
      </x:c>
      <x:c r="N11" s="0" t="s">
        <x:v>26</x:v>
      </x:c>
      <x:c r="P11" s="0" t="s">
        <x:v>27</x:v>
      </x:c>
    </x:row>
    <x:row r="12" spans="1:20">
      <x:c r="A12" s="0">
        <x:v>11</x:v>
      </x:c>
      <x:c r="B12" s="0" t="s">
        <x:v>69</x:v>
      </x:c>
      <x:c r="C12" s="0" t="s">
        <x:v>21</x:v>
      </x:c>
      <x:c r="D12" s="0" t="s">
        <x:v>34</x:v>
      </x:c>
      <x:c r="E12" s="0">
        <x:v>1</x:v>
      </x:c>
      <x:c r="F12" s="0">
        <x:v>0.2</x:v>
      </x:c>
      <x:c r="G12" s="8">
        <x:v>3145</x:v>
      </x:c>
      <x:c r="H12" s="8">
        <x:v>629</x:v>
      </x:c>
      <x:c r="I12" s="0" t="s">
        <x:v>23</x:v>
      </x:c>
      <x:c r="K12" s="8">
        <x:v>629</x:v>
      </x:c>
      <x:c r="L12" s="0" t="s">
        <x:v>24</x:v>
      </x:c>
      <x:c r="M12" s="0" t="s">
        <x:v>25</x:v>
      </x:c>
      <x:c r="N12" s="0" t="s">
        <x:v>26</x:v>
      </x:c>
      <x:c r="P12" s="0" t="s">
        <x:v>27</x:v>
      </x:c>
    </x:row>
    <x:row r="13" spans="1:20">
      <x:c r="A13" s="0">
        <x:v>12</x:v>
      </x:c>
      <x:c r="B13" s="0" t="s">
        <x:v>39</x:v>
      </x:c>
      <x:c r="C13" s="0" t="s">
        <x:v>21</x:v>
      </x:c>
      <x:c r="D13" s="0" t="s">
        <x:v>22</x:v>
      </x:c>
      <x:c r="E13" s="0">
        <x:v>1</x:v>
      </x:c>
      <x:c r="F13" s="0">
        <x:v>3</x:v>
      </x:c>
      <x:c r="G13" s="8">
        <x:v>150.67</x:v>
      </x:c>
      <x:c r="H13" s="8">
        <x:v>452</x:v>
      </x:c>
      <x:c r="I13" s="0" t="s">
        <x:v>23</x:v>
      </x:c>
      <x:c r="K13" s="8">
        <x:v>452</x:v>
      </x:c>
      <x:c r="L13" s="0" t="s">
        <x:v>24</x:v>
      </x:c>
      <x:c r="M13" s="0" t="s">
        <x:v>25</x:v>
      </x:c>
      <x:c r="N13" s="0" t="s">
        <x:v>26</x:v>
      </x:c>
      <x:c r="P13" s="0" t="s">
        <x:v>27</x:v>
      </x:c>
    </x:row>
    <x:row r="14" spans="1:20">
      <x:c r="A14" s="0">
        <x:v>13</x:v>
      </x:c>
      <x:c r="B14" s="0" t="s">
        <x:v>40</x:v>
      </x:c>
      <x:c r="C14" s="0" t="s">
        <x:v>21</x:v>
      </x:c>
      <x:c r="D14" s="0" t="s">
        <x:v>22</x:v>
      </x:c>
      <x:c r="E14" s="0">
        <x:v>1</x:v>
      </x:c>
      <x:c r="F14" s="0">
        <x:v>1</x:v>
      </x:c>
      <x:c r="G14" s="8">
        <x:v>400</x:v>
      </x:c>
      <x:c r="H14" s="8">
        <x:v>400</x:v>
      </x:c>
      <x:c r="I14" s="0" t="s">
        <x:v>23</x:v>
      </x:c>
      <x:c r="K14" s="8">
        <x:v>400</x:v>
      </x:c>
      <x:c r="L14" s="0" t="s">
        <x:v>24</x:v>
      </x:c>
      <x:c r="M14" s="0" t="s">
        <x:v>25</x:v>
      </x:c>
      <x:c r="N14" s="0" t="s">
        <x:v>26</x:v>
      </x:c>
      <x:c r="P14" s="0" t="s">
        <x:v>27</x:v>
      </x:c>
    </x:row>
    <x:row r="15" spans="1:20">
      <x:c r="A15" s="0">
        <x:v>14</x:v>
      </x:c>
      <x:c r="B15" s="0" t="s">
        <x:v>41</x:v>
      </x:c>
      <x:c r="C15" s="0" t="s">
        <x:v>21</x:v>
      </x:c>
      <x:c r="D15" s="0" t="s">
        <x:v>22</x:v>
      </x:c>
      <x:c r="E15" s="0">
        <x:v>1</x:v>
      </x:c>
      <x:c r="F15" s="0">
        <x:v>1</x:v>
      </x:c>
      <x:c r="G15" s="8">
        <x:v>290</x:v>
      </x:c>
      <x:c r="H15" s="8">
        <x:v>290</x:v>
      </x:c>
      <x:c r="I15" s="0" t="s">
        <x:v>23</x:v>
      </x:c>
      <x:c r="K15" s="8">
        <x:v>290</x:v>
      </x:c>
      <x:c r="L15" s="0" t="s">
        <x:v>24</x:v>
      </x:c>
      <x:c r="M15" s="0" t="s">
        <x:v>25</x:v>
      </x:c>
      <x:c r="N15" s="0" t="s">
        <x:v>26</x:v>
      </x:c>
      <x:c r="P15" s="0" t="s">
        <x:v>27</x:v>
      </x:c>
    </x:row>
    <x:row r="16" spans="1:20">
      <x:c r="A16" s="0">
        <x:v>15</x:v>
      </x:c>
      <x:c r="B16" s="0" t="s">
        <x:v>149</x:v>
      </x:c>
      <x:c r="C16" s="0" t="s">
        <x:v>21</x:v>
      </x:c>
      <x:c r="D16" s="0" t="s">
        <x:v>34</x:v>
      </x:c>
      <x:c r="E16" s="0">
        <x:v>1</x:v>
      </x:c>
      <x:c r="F16" s="0">
        <x:v>0.1</x:v>
      </x:c>
      <x:c r="G16" s="8">
        <x:v>2550</x:v>
      </x:c>
      <x:c r="H16" s="8">
        <x:v>255</x:v>
      </x:c>
      <x:c r="I16" s="0" t="s">
        <x:v>23</x:v>
      </x:c>
      <x:c r="K16" s="8">
        <x:v>255</x:v>
      </x:c>
      <x:c r="L16" s="0" t="s">
        <x:v>24</x:v>
      </x:c>
      <x:c r="M16" s="0" t="s">
        <x:v>25</x:v>
      </x:c>
      <x:c r="N16" s="0" t="s">
        <x:v>26</x:v>
      </x:c>
      <x:c r="P16" s="0" t="s">
        <x:v>27</x:v>
      </x:c>
    </x:row>
    <x:row r="17" spans="1:20">
      <x:c r="A17" s="0">
        <x:v>16</x:v>
      </x:c>
      <x:c r="B17" s="0" t="s">
        <x:v>161</x:v>
      </x:c>
      <x:c r="C17" s="0" t="s">
        <x:v>21</x:v>
      </x:c>
      <x:c r="D17" s="0" t="s">
        <x:v>34</x:v>
      </x:c>
      <x:c r="E17" s="0">
        <x:v>1</x:v>
      </x:c>
      <x:c r="F17" s="0">
        <x:v>0.1</x:v>
      </x:c>
      <x:c r="G17" s="8">
        <x:v>4930</x:v>
      </x:c>
      <x:c r="H17" s="8">
        <x:v>493</x:v>
      </x:c>
      <x:c r="I17" s="0" t="s">
        <x:v>23</x:v>
      </x:c>
      <x:c r="K17" s="8">
        <x:v>493</x:v>
      </x:c>
      <x:c r="L17" s="0" t="s">
        <x:v>24</x:v>
      </x:c>
      <x:c r="M17" s="0" t="s">
        <x:v>25</x:v>
      </x:c>
      <x:c r="N17" s="0" t="s">
        <x:v>26</x:v>
      </x:c>
      <x:c r="P17" s="0" t="s">
        <x:v>27</x:v>
      </x:c>
    </x:row>
    <x:row r="18" spans="1:20">
      <x:c r="A18" s="0">
        <x:v>17</x:v>
      </x:c>
      <x:c r="B18" s="0" t="s">
        <x:v>44</x:v>
      </x:c>
      <x:c r="C18" s="0" t="s">
        <x:v>21</x:v>
      </x:c>
      <x:c r="D18" s="0" t="s">
        <x:v>22</x:v>
      </x:c>
      <x:c r="E18" s="0">
        <x:v>1</x:v>
      </x:c>
      <x:c r="F18" s="0">
        <x:v>2</x:v>
      </x:c>
      <x:c r="G18" s="8">
        <x:v>85</x:v>
      </x:c>
      <x:c r="H18" s="8">
        <x:v>170</x:v>
      </x:c>
      <x:c r="I18" s="0" t="s">
        <x:v>23</x:v>
      </x:c>
      <x:c r="K18" s="8">
        <x:v>170</x:v>
      </x:c>
      <x:c r="L18" s="0" t="s">
        <x:v>24</x:v>
      </x:c>
      <x:c r="M18" s="0" t="s">
        <x:v>25</x:v>
      </x:c>
      <x:c r="N18" s="0" t="s">
        <x:v>26</x:v>
      </x:c>
      <x:c r="P18" s="0" t="s">
        <x:v>27</x:v>
      </x:c>
    </x:row>
    <x:row r="19" spans="1:20">
      <x:c r="A19" s="0">
        <x:v>18</x:v>
      </x:c>
      <x:c r="B19" s="0" t="s">
        <x:v>162</x:v>
      </x:c>
      <x:c r="C19" s="0" t="s">
        <x:v>21</x:v>
      </x:c>
      <x:c r="D19" s="0" t="s">
        <x:v>22</x:v>
      </x:c>
      <x:c r="E19" s="0">
        <x:v>1</x:v>
      </x:c>
      <x:c r="F19" s="0">
        <x:v>1</x:v>
      </x:c>
      <x:c r="G19" s="8">
        <x:v>180</x:v>
      </x:c>
      <x:c r="H19" s="8">
        <x:v>180</x:v>
      </x:c>
      <x:c r="I19" s="0" t="s">
        <x:v>23</x:v>
      </x:c>
      <x:c r="K19" s="8">
        <x:v>180</x:v>
      </x:c>
      <x:c r="L19" s="0" t="s">
        <x:v>24</x:v>
      </x:c>
      <x:c r="M19" s="0" t="s">
        <x:v>25</x:v>
      </x:c>
      <x:c r="N19" s="0" t="s">
        <x:v>26</x:v>
      </x:c>
      <x:c r="P19" s="0" t="s">
        <x:v>27</x:v>
      </x:c>
    </x:row>
    <x:row r="20" spans="1:20">
      <x:c r="A20" s="0">
        <x:v>19</x:v>
      </x:c>
      <x:c r="B20" s="0" t="s">
        <x:v>46</x:v>
      </x:c>
      <x:c r="C20" s="0" t="s">
        <x:v>21</x:v>
      </x:c>
      <x:c r="D20" s="0" t="s">
        <x:v>22</x:v>
      </x:c>
      <x:c r="E20" s="0">
        <x:v>1</x:v>
      </x:c>
      <x:c r="F20" s="0">
        <x:v>3</x:v>
      </x:c>
      <x:c r="G20" s="8">
        <x:v>150</x:v>
      </x:c>
      <x:c r="H20" s="8">
        <x:v>450</x:v>
      </x:c>
      <x:c r="I20" s="0" t="s">
        <x:v>23</x:v>
      </x:c>
      <x:c r="K20" s="8">
        <x:v>450</x:v>
      </x:c>
      <x:c r="L20" s="0" t="s">
        <x:v>24</x:v>
      </x:c>
      <x:c r="M20" s="0" t="s">
        <x:v>25</x:v>
      </x:c>
      <x:c r="N20" s="0" t="s">
        <x:v>26</x:v>
      </x:c>
      <x:c r="P20" s="0" t="s">
        <x:v>27</x:v>
      </x:c>
    </x:row>
    <x:row r="21" spans="1:20">
      <x:c r="A21" s="0">
        <x:v>20</x:v>
      </x:c>
      <x:c r="B21" s="0" t="s">
        <x:v>47</x:v>
      </x:c>
      <x:c r="C21" s="0" t="s">
        <x:v>21</x:v>
      </x:c>
      <x:c r="D21" s="0" t="s">
        <x:v>22</x:v>
      </x:c>
      <x:c r="E21" s="0">
        <x:v>1</x:v>
      </x:c>
      <x:c r="F21" s="0">
        <x:v>5</x:v>
      </x:c>
      <x:c r="G21" s="8">
        <x:v>270</x:v>
      </x:c>
      <x:c r="H21" s="8">
        <x:v>1350</x:v>
      </x:c>
      <x:c r="I21" s="0" t="s">
        <x:v>23</x:v>
      </x:c>
      <x:c r="K21" s="8">
        <x:v>1350</x:v>
      </x:c>
      <x:c r="L21" s="0" t="s">
        <x:v>24</x:v>
      </x:c>
      <x:c r="M21" s="0" t="s">
        <x:v>25</x:v>
      </x:c>
      <x:c r="N21" s="0" t="s">
        <x:v>26</x:v>
      </x:c>
      <x:c r="P21" s="0" t="s">
        <x:v>27</x:v>
      </x:c>
    </x:row>
    <x:row r="22" spans="1:20">
      <x:c r="A22" s="0">
        <x:v>21</x:v>
      </x:c>
      <x:c r="B22" s="0" t="s">
        <x:v>105</x:v>
      </x:c>
      <x:c r="C22" s="0" t="s">
        <x:v>21</x:v>
      </x:c>
      <x:c r="D22" s="0" t="s">
        <x:v>34</x:v>
      </x:c>
      <x:c r="E22" s="0">
        <x:v>1</x:v>
      </x:c>
      <x:c r="F22" s="0">
        <x:v>0.1</x:v>
      </x:c>
      <x:c r="G22" s="8">
        <x:v>3560</x:v>
      </x:c>
      <x:c r="H22" s="8">
        <x:v>356</x:v>
      </x:c>
      <x:c r="I22" s="0" t="s">
        <x:v>23</x:v>
      </x:c>
      <x:c r="K22" s="8">
        <x:v>356</x:v>
      </x:c>
      <x:c r="L22" s="0" t="s">
        <x:v>24</x:v>
      </x:c>
      <x:c r="M22" s="0" t="s">
        <x:v>25</x:v>
      </x:c>
      <x:c r="N22" s="0" t="s">
        <x:v>26</x:v>
      </x:c>
      <x:c r="P22" s="0" t="s">
        <x:v>27</x:v>
      </x:c>
    </x:row>
    <x:row r="23" spans="1:20">
      <x:c r="A23" s="0">
        <x:v>22</x:v>
      </x:c>
      <x:c r="B23" s="0" t="s">
        <x:v>71</x:v>
      </x:c>
      <x:c r="C23" s="0" t="s">
        <x:v>21</x:v>
      </x:c>
      <x:c r="D23" s="0" t="s">
        <x:v>22</x:v>
      </x:c>
      <x:c r="E23" s="0">
        <x:v>1</x:v>
      </x:c>
      <x:c r="F23" s="0">
        <x:v>1</x:v>
      </x:c>
      <x:c r="G23" s="8">
        <x:v>150</x:v>
      </x:c>
      <x:c r="H23" s="8">
        <x:v>150</x:v>
      </x:c>
      <x:c r="I23" s="0" t="s">
        <x:v>23</x:v>
      </x:c>
      <x:c r="K23" s="8">
        <x:v>150</x:v>
      </x:c>
      <x:c r="L23" s="0" t="s">
        <x:v>24</x:v>
      </x:c>
      <x:c r="M23" s="0" t="s">
        <x:v>25</x:v>
      </x:c>
      <x:c r="N23" s="0" t="s">
        <x:v>26</x:v>
      </x:c>
      <x:c r="P23" s="0" t="s">
        <x:v>27</x:v>
      </x:c>
    </x:row>
    <x:row r="24" spans="1:20">
      <x:c r="A24" s="0">
        <x:v>23</x:v>
      </x:c>
      <x:c r="B24" s="0" t="s">
        <x:v>48</x:v>
      </x:c>
      <x:c r="C24" s="0" t="s">
        <x:v>21</x:v>
      </x:c>
      <x:c r="D24" s="0" t="s">
        <x:v>34</x:v>
      </x:c>
      <x:c r="E24" s="0">
        <x:v>1</x:v>
      </x:c>
      <x:c r="F24" s="0">
        <x:v>0.1</x:v>
      </x:c>
      <x:c r="G24" s="8">
        <x:v>3186</x:v>
      </x:c>
      <x:c r="H24" s="8">
        <x:v>318.6</x:v>
      </x:c>
      <x:c r="I24" s="0" t="s">
        <x:v>23</x:v>
      </x:c>
      <x:c r="K24" s="8">
        <x:v>318.6</x:v>
      </x:c>
      <x:c r="L24" s="0" t="s">
        <x:v>24</x:v>
      </x:c>
      <x:c r="M24" s="0" t="s">
        <x:v>25</x:v>
      </x:c>
      <x:c r="N24" s="0" t="s">
        <x:v>26</x:v>
      </x:c>
      <x:c r="P24" s="0" t="s">
        <x:v>27</x:v>
      </x:c>
    </x:row>
    <x:row r="25" spans="1:20">
      <x:c r="A25" s="0">
        <x:v>24</x:v>
      </x:c>
      <x:c r="B25" s="0" t="s">
        <x:v>95</x:v>
      </x:c>
      <x:c r="C25" s="0" t="s">
        <x:v>21</x:v>
      </x:c>
      <x:c r="D25" s="0" t="s">
        <x:v>22</x:v>
      </x:c>
      <x:c r="E25" s="0">
        <x:v>1</x:v>
      </x:c>
      <x:c r="F25" s="0">
        <x:v>1</x:v>
      </x:c>
      <x:c r="G25" s="8">
        <x:v>229.09</x:v>
      </x:c>
      <x:c r="H25" s="8">
        <x:v>229.09</x:v>
      </x:c>
      <x:c r="I25" s="0" t="s">
        <x:v>23</x:v>
      </x:c>
      <x:c r="K25" s="8">
        <x:v>229.09</x:v>
      </x:c>
      <x:c r="L25" s="0" t="s">
        <x:v>24</x:v>
      </x:c>
      <x:c r="M25" s="0" t="s">
        <x:v>25</x:v>
      </x:c>
      <x:c r="N25" s="0" t="s">
        <x:v>26</x:v>
      </x:c>
      <x:c r="P25" s="0" t="s">
        <x:v>27</x:v>
      </x:c>
    </x:row>
    <x:row r="26" spans="1:20">
      <x:c r="A26" s="0">
        <x:v>25</x:v>
      </x:c>
      <x:c r="B26" s="0" t="s">
        <x:v>145</x:v>
      </x:c>
      <x:c r="C26" s="0" t="s">
        <x:v>21</x:v>
      </x:c>
      <x:c r="D26" s="0" t="s">
        <x:v>34</x:v>
      </x:c>
      <x:c r="E26" s="0">
        <x:v>1</x:v>
      </x:c>
      <x:c r="F26" s="0">
        <x:v>0.1</x:v>
      </x:c>
      <x:c r="G26" s="8">
        <x:v>3136.2</x:v>
      </x:c>
      <x:c r="H26" s="8">
        <x:v>313.62</x:v>
      </x:c>
      <x:c r="I26" s="0" t="s">
        <x:v>23</x:v>
      </x:c>
      <x:c r="K26" s="8">
        <x:v>313.62</x:v>
      </x:c>
      <x:c r="L26" s="0" t="s">
        <x:v>24</x:v>
      </x:c>
      <x:c r="M26" s="0" t="s">
        <x:v>25</x:v>
      </x:c>
      <x:c r="N26" s="0" t="s">
        <x:v>26</x:v>
      </x:c>
      <x:c r="P26" s="0" t="s">
        <x:v>27</x:v>
      </x:c>
    </x:row>
    <x:row r="27" spans="1:20">
      <x:c r="A27" s="0">
        <x:v>26</x:v>
      </x:c>
      <x:c r="B27" s="0" t="s">
        <x:v>108</x:v>
      </x:c>
      <x:c r="C27" s="0" t="s">
        <x:v>21</x:v>
      </x:c>
      <x:c r="D27" s="0" t="s">
        <x:v>34</x:v>
      </x:c>
      <x:c r="E27" s="0">
        <x:v>1</x:v>
      </x:c>
      <x:c r="F27" s="0">
        <x:v>0.1</x:v>
      </x:c>
      <x:c r="G27" s="8">
        <x:v>3568.3</x:v>
      </x:c>
      <x:c r="H27" s="8">
        <x:v>356.83</x:v>
      </x:c>
      <x:c r="I27" s="0" t="s">
        <x:v>23</x:v>
      </x:c>
      <x:c r="K27" s="8">
        <x:v>356.83</x:v>
      </x:c>
      <x:c r="L27" s="0" t="s">
        <x:v>24</x:v>
      </x:c>
      <x:c r="M27" s="0" t="s">
        <x:v>25</x:v>
      </x:c>
      <x:c r="N27" s="0" t="s">
        <x:v>26</x:v>
      </x:c>
      <x:c r="P27" s="0" t="s">
        <x:v>27</x:v>
      </x:c>
    </x:row>
    <x:row r="28" spans="1:20">
      <x:c r="A28" s="0">
        <x:v>27</x:v>
      </x:c>
      <x:c r="B28" s="0" t="s">
        <x:v>50</x:v>
      </x:c>
      <x:c r="C28" s="0" t="s">
        <x:v>21</x:v>
      </x:c>
      <x:c r="D28" s="0" t="s">
        <x:v>22</x:v>
      </x:c>
      <x:c r="E28" s="0">
        <x:v>1</x:v>
      </x:c>
      <x:c r="F28" s="0">
        <x:v>2</x:v>
      </x:c>
      <x:c r="G28" s="8">
        <x:v>180</x:v>
      </x:c>
      <x:c r="H28" s="8">
        <x:v>360</x:v>
      </x:c>
      <x:c r="I28" s="0" t="s">
        <x:v>23</x:v>
      </x:c>
      <x:c r="K28" s="8">
        <x:v>360</x:v>
      </x:c>
      <x:c r="L28" s="0" t="s">
        <x:v>24</x:v>
      </x:c>
      <x:c r="M28" s="0" t="s">
        <x:v>25</x:v>
      </x:c>
      <x:c r="N28" s="0" t="s">
        <x:v>26</x:v>
      </x:c>
      <x:c r="P28" s="0" t="s">
        <x:v>27</x:v>
      </x:c>
    </x:row>
    <x:row r="29" spans="1:20">
      <x:c r="A29" s="0">
        <x:v>28</x:v>
      </x:c>
      <x:c r="B29" s="0" t="s">
        <x:v>51</x:v>
      </x:c>
      <x:c r="C29" s="0" t="s">
        <x:v>21</x:v>
      </x:c>
      <x:c r="D29" s="0" t="s">
        <x:v>22</x:v>
      </x:c>
      <x:c r="E29" s="0">
        <x:v>1</x:v>
      </x:c>
      <x:c r="F29" s="0">
        <x:v>2</x:v>
      </x:c>
      <x:c r="G29" s="8">
        <x:v>55.46</x:v>
      </x:c>
      <x:c r="H29" s="8">
        <x:v>110.91</x:v>
      </x:c>
      <x:c r="I29" s="0" t="s">
        <x:v>23</x:v>
      </x:c>
      <x:c r="K29" s="8">
        <x:v>110.91</x:v>
      </x:c>
      <x:c r="L29" s="0" t="s">
        <x:v>24</x:v>
      </x:c>
      <x:c r="M29" s="0" t="s">
        <x:v>25</x:v>
      </x:c>
      <x:c r="N29" s="0" t="s">
        <x:v>26</x:v>
      </x:c>
      <x:c r="P29" s="0" t="s">
        <x:v>27</x:v>
      </x:c>
    </x:row>
    <x:row r="30" spans="1:20">
      <x:c r="A30" s="0">
        <x:v>29</x:v>
      </x:c>
      <x:c r="B30" s="0" t="s">
        <x:v>52</x:v>
      </x:c>
      <x:c r="C30" s="0" t="s">
        <x:v>21</x:v>
      </x:c>
      <x:c r="D30" s="0" t="s">
        <x:v>22</x:v>
      </x:c>
      <x:c r="E30" s="0">
        <x:v>1</x:v>
      </x:c>
      <x:c r="F30" s="0">
        <x:v>4</x:v>
      </x:c>
      <x:c r="G30" s="8">
        <x:v>239.63</x:v>
      </x:c>
      <x:c r="H30" s="8">
        <x:v>958.5</x:v>
      </x:c>
      <x:c r="I30" s="0" t="s">
        <x:v>23</x:v>
      </x:c>
      <x:c r="K30" s="8">
        <x:v>958.5</x:v>
      </x:c>
      <x:c r="L30" s="0" t="s">
        <x:v>24</x:v>
      </x:c>
      <x:c r="M30" s="0" t="s">
        <x:v>25</x:v>
      </x:c>
      <x:c r="N30" s="0" t="s">
        <x:v>26</x:v>
      </x:c>
      <x:c r="P30" s="0" t="s">
        <x:v>27</x:v>
      </x:c>
    </x:row>
    <x:row r="31" spans="1:20">
      <x:c r="A31" s="0">
        <x:v>30</x:v>
      </x:c>
      <x:c r="B31" s="0" t="s">
        <x:v>137</x:v>
      </x:c>
      <x:c r="C31" s="0" t="s">
        <x:v>21</x:v>
      </x:c>
      <x:c r="D31" s="0" t="s">
        <x:v>22</x:v>
      </x:c>
      <x:c r="E31" s="0">
        <x:v>1</x:v>
      </x:c>
      <x:c r="F31" s="0">
        <x:v>1</x:v>
      </x:c>
      <x:c r="G31" s="8">
        <x:v>212</x:v>
      </x:c>
      <x:c r="H31" s="8">
        <x:v>212</x:v>
      </x:c>
      <x:c r="I31" s="0" t="s">
        <x:v>23</x:v>
      </x:c>
      <x:c r="K31" s="8">
        <x:v>212</x:v>
      </x:c>
      <x:c r="L31" s="0" t="s">
        <x:v>24</x:v>
      </x:c>
      <x:c r="M31" s="0" t="s">
        <x:v>25</x:v>
      </x:c>
      <x:c r="N31" s="0" t="s">
        <x:v>26</x:v>
      </x:c>
      <x:c r="P31" s="0" t="s">
        <x:v>27</x:v>
      </x:c>
    </x:row>
    <x:row r="32" spans="1:20">
      <x:c r="A32" s="0">
        <x:v>31</x:v>
      </x:c>
      <x:c r="B32" s="0" t="s">
        <x:v>53</x:v>
      </x:c>
      <x:c r="C32" s="0" t="s">
        <x:v>21</x:v>
      </x:c>
      <x:c r="D32" s="0" t="s">
        <x:v>22</x:v>
      </x:c>
      <x:c r="E32" s="0">
        <x:v>1</x:v>
      </x:c>
      <x:c r="F32" s="0">
        <x:v>3</x:v>
      </x:c>
      <x:c r="G32" s="8">
        <x:v>40</x:v>
      </x:c>
      <x:c r="H32" s="8">
        <x:v>120</x:v>
      </x:c>
      <x:c r="I32" s="0" t="s">
        <x:v>23</x:v>
      </x:c>
      <x:c r="K32" s="8">
        <x:v>120</x:v>
      </x:c>
      <x:c r="L32" s="0" t="s">
        <x:v>24</x:v>
      </x:c>
      <x:c r="M32" s="0" t="s">
        <x:v>25</x:v>
      </x:c>
      <x:c r="N32" s="0" t="s">
        <x:v>26</x:v>
      </x:c>
      <x:c r="P32" s="0" t="s">
        <x:v>27</x:v>
      </x:c>
    </x:row>
    <x:row r="33" spans="1:20">
      <x:c r="A33" s="0">
        <x:v>32</x:v>
      </x:c>
      <x:c r="B33" s="0" t="s">
        <x:v>55</x:v>
      </x:c>
      <x:c r="C33" s="0" t="s">
        <x:v>21</x:v>
      </x:c>
      <x:c r="D33" s="0" t="s">
        <x:v>22</x:v>
      </x:c>
      <x:c r="E33" s="0">
        <x:v>1</x:v>
      </x:c>
      <x:c r="F33" s="0">
        <x:v>1</x:v>
      </x:c>
      <x:c r="G33" s="8">
        <x:v>350</x:v>
      </x:c>
      <x:c r="H33" s="8">
        <x:v>350</x:v>
      </x:c>
      <x:c r="I33" s="0" t="s">
        <x:v>23</x:v>
      </x:c>
      <x:c r="K33" s="8">
        <x:v>350</x:v>
      </x:c>
      <x:c r="L33" s="0" t="s">
        <x:v>24</x:v>
      </x:c>
      <x:c r="M33" s="0" t="s">
        <x:v>25</x:v>
      </x:c>
      <x:c r="N33" s="0" t="s">
        <x:v>26</x:v>
      </x:c>
      <x:c r="P33" s="0" t="s">
        <x:v>27</x:v>
      </x:c>
    </x:row>
    <x:row r="34" spans="1:20">
      <x:c r="A34" s="0">
        <x:v>33</x:v>
      </x:c>
      <x:c r="B34" s="0" t="s">
        <x:v>56</x:v>
      </x:c>
      <x:c r="C34" s="0" t="s">
        <x:v>21</x:v>
      </x:c>
      <x:c r="D34" s="0" t="s">
        <x:v>22</x:v>
      </x:c>
      <x:c r="E34" s="0">
        <x:v>1</x:v>
      </x:c>
      <x:c r="F34" s="0">
        <x:v>1</x:v>
      </x:c>
      <x:c r="G34" s="8">
        <x:v>350</x:v>
      </x:c>
      <x:c r="H34" s="8">
        <x:v>350</x:v>
      </x:c>
      <x:c r="I34" s="0" t="s">
        <x:v>23</x:v>
      </x:c>
      <x:c r="K34" s="8">
        <x:v>350</x:v>
      </x:c>
      <x:c r="L34" s="0" t="s">
        <x:v>24</x:v>
      </x:c>
      <x:c r="M34" s="0" t="s">
        <x:v>25</x:v>
      </x:c>
      <x:c r="N34" s="0" t="s">
        <x:v>26</x:v>
      </x:c>
      <x:c r="P34" s="0" t="s">
        <x:v>27</x:v>
      </x:c>
    </x:row>
    <x:row r="35" spans="1:20">
      <x:c r="A35" s="0">
        <x:v>34</x:v>
      </x:c>
      <x:c r="B35" s="0" t="s">
        <x:v>155</x:v>
      </x:c>
      <x:c r="C35" s="0" t="s">
        <x:v>21</x:v>
      </x:c>
      <x:c r="D35" s="0" t="s">
        <x:v>22</x:v>
      </x:c>
      <x:c r="E35" s="0">
        <x:v>1</x:v>
      </x:c>
      <x:c r="F35" s="0">
        <x:v>2</x:v>
      </x:c>
      <x:c r="G35" s="8">
        <x:v>180</x:v>
      </x:c>
      <x:c r="H35" s="8">
        <x:v>360</x:v>
      </x:c>
      <x:c r="I35" s="0" t="s">
        <x:v>23</x:v>
      </x:c>
      <x:c r="K35" s="8">
        <x:v>360</x:v>
      </x:c>
      <x:c r="L35" s="0" t="s">
        <x:v>24</x:v>
      </x:c>
      <x:c r="M35" s="0" t="s">
        <x:v>25</x:v>
      </x:c>
      <x:c r="N35" s="0" t="s">
        <x:v>26</x:v>
      </x:c>
      <x:c r="P35" s="0" t="s">
        <x:v>27</x:v>
      </x:c>
    </x:row>
    <x:row r="36" spans="1:20">
      <x:c r="A36" s="0">
        <x:v>35</x:v>
      </x:c>
      <x:c r="B36" s="0" t="s">
        <x:v>57</x:v>
      </x:c>
      <x:c r="C36" s="0" t="s">
        <x:v>21</x:v>
      </x:c>
      <x:c r="D36" s="0" t="s">
        <x:v>22</x:v>
      </x:c>
      <x:c r="E36" s="0">
        <x:v>1</x:v>
      </x:c>
      <x:c r="F36" s="0">
        <x:v>2</x:v>
      </x:c>
      <x:c r="G36" s="8">
        <x:v>136.5</x:v>
      </x:c>
      <x:c r="H36" s="8">
        <x:v>273</x:v>
      </x:c>
      <x:c r="I36" s="0" t="s">
        <x:v>23</x:v>
      </x:c>
      <x:c r="K36" s="8">
        <x:v>273</x:v>
      </x:c>
      <x:c r="L36" s="0" t="s">
        <x:v>24</x:v>
      </x:c>
      <x:c r="M36" s="0" t="s">
        <x:v>25</x:v>
      </x:c>
      <x:c r="N36" s="0" t="s">
        <x:v>26</x:v>
      </x:c>
      <x:c r="P36" s="0" t="s">
        <x:v>27</x:v>
      </x:c>
    </x:row>
    <x:row r="37" spans="1:20">
      <x:c r="A37" s="0">
        <x:v>36</x:v>
      </x:c>
      <x:c r="B37" s="0" t="s">
        <x:v>58</x:v>
      </x:c>
      <x:c r="C37" s="0" t="s">
        <x:v>21</x:v>
      </x:c>
      <x:c r="D37" s="0" t="s">
        <x:v>22</x:v>
      </x:c>
      <x:c r="E37" s="0">
        <x:v>1</x:v>
      </x:c>
      <x:c r="F37" s="0">
        <x:v>2</x:v>
      </x:c>
      <x:c r="G37" s="8">
        <x:v>280</x:v>
      </x:c>
      <x:c r="H37" s="8">
        <x:v>560</x:v>
      </x:c>
      <x:c r="I37" s="0" t="s">
        <x:v>23</x:v>
      </x:c>
      <x:c r="K37" s="8">
        <x:v>560</x:v>
      </x:c>
      <x:c r="L37" s="0" t="s">
        <x:v>24</x:v>
      </x:c>
      <x:c r="M37" s="0" t="s">
        <x:v>25</x:v>
      </x:c>
      <x:c r="N37" s="0" t="s">
        <x:v>26</x:v>
      </x:c>
      <x:c r="P37" s="0" t="s">
        <x:v>27</x:v>
      </x:c>
    </x:row>
    <x:row r="38" spans="1:20">
      <x:c r="A38" s="0">
        <x:v>37</x:v>
      </x:c>
      <x:c r="B38" s="0" t="s">
        <x:v>98</x:v>
      </x:c>
      <x:c r="C38" s="0" t="s">
        <x:v>21</x:v>
      </x:c>
      <x:c r="D38" s="0" t="s">
        <x:v>34</x:v>
      </x:c>
      <x:c r="E38" s="0">
        <x:v>1</x:v>
      </x:c>
      <x:c r="F38" s="0">
        <x:v>0.1</x:v>
      </x:c>
      <x:c r="G38" s="8">
        <x:v>3450</x:v>
      </x:c>
      <x:c r="H38" s="8">
        <x:v>345</x:v>
      </x:c>
      <x:c r="I38" s="0" t="s">
        <x:v>23</x:v>
      </x:c>
      <x:c r="K38" s="8">
        <x:v>345</x:v>
      </x:c>
      <x:c r="L38" s="0" t="s">
        <x:v>24</x:v>
      </x:c>
      <x:c r="M38" s="0" t="s">
        <x:v>25</x:v>
      </x:c>
      <x:c r="N38" s="0" t="s">
        <x:v>26</x:v>
      </x:c>
      <x:c r="P38" s="0" t="s">
        <x:v>27</x:v>
      </x:c>
    </x:row>
    <x:row r="39" spans="1:20">
      <x:c r="A39" s="0">
        <x:v>38</x:v>
      </x:c>
      <x:c r="B39" s="0" t="s">
        <x:v>60</x:v>
      </x:c>
      <x:c r="C39" s="0" t="s">
        <x:v>21</x:v>
      </x:c>
      <x:c r="D39" s="0" t="s">
        <x:v>22</x:v>
      </x:c>
      <x:c r="E39" s="0">
        <x:v>1</x:v>
      </x:c>
      <x:c r="F39" s="0">
        <x:v>1</x:v>
      </x:c>
      <x:c r="G39" s="8">
        <x:v>150</x:v>
      </x:c>
      <x:c r="H39" s="8">
        <x:v>150</x:v>
      </x:c>
      <x:c r="I39" s="0" t="s">
        <x:v>23</x:v>
      </x:c>
      <x:c r="K39" s="8">
        <x:v>150</x:v>
      </x:c>
      <x:c r="L39" s="0" t="s">
        <x:v>24</x:v>
      </x:c>
      <x:c r="M39" s="0" t="s">
        <x:v>25</x:v>
      </x:c>
      <x:c r="N39" s="0" t="s">
        <x:v>26</x:v>
      </x:c>
      <x:c r="P39" s="0" t="s">
        <x:v>27</x:v>
      </x:c>
    </x:row>
    <x:row r="40" spans="1:20">
      <x:c r="H40" s="18">
        <x:f>SUM(H2:H39)</x:f>
      </x:c>
    </x:row>
    <x:row r="42" spans="1:20">
      <x:c r="B42" s="19" t="s">
        <x:v>163</x:v>
      </x:c>
      <x:c r="C42" s="20"/>
      <x:c r="D42" s="20"/>
      <x:c r="E42" s="20"/>
      <x:c r="F42" s="20"/>
      <x:c r="G42" s="20"/>
      <x:c r="H42" s="21">
        <x:f>SUM(H43:H45)</x:f>
      </x:c>
      <x:c r="I42" s="22" t="s">
        <x:v>164</x:v>
      </x:c>
    </x:row>
    <x:row r="43" spans="1:20">
      <x:c r="B43" s="21" t="s">
        <x:v>165</x:v>
      </x:c>
      <x:c r="C43" s="21"/>
      <x:c r="D43" s="21"/>
      <x:c r="E43" s="21"/>
      <x:c r="F43" s="20">
        <x:f>F3+F4+F5+F6+F13+F14+F15+F21+F23+F25+F30+F31+F36+F37+F39</x:f>
      </x:c>
      <x:c r="G43" s="20">
        <x:f>G3+G4+G5+G6+G13+G14+G15+G21+G23+G25+G30+G31+G36+G37+G39</x:f>
      </x:c>
      <x:c r="H43" s="20">
        <x:f>H3+H4+H5+H6+H13+H14+H15+H21+H23+H25+H30+H31+H36+H37+H39</x:f>
      </x:c>
      <x:c r="I43" s="15"/>
    </x:row>
    <x:row r="44" spans="1:20">
      <x:c r="B44" s="21" t="s">
        <x:v>166</x:v>
      </x:c>
      <x:c r="C44" s="21"/>
      <x:c r="D44" s="21"/>
      <x:c r="E44" s="21"/>
      <x:c r="F44" s="20"/>
      <x:c r="G44" s="20"/>
      <x:c r="H44" s="20"/>
      <x:c r="I44" s="15"/>
    </x:row>
    <x:row r="45" spans="1:20">
      <x:c r="B45" s="21" t="s">
        <x:v>167</x:v>
      </x:c>
      <x:c r="C45" s="21"/>
      <x:c r="D45" s="21"/>
      <x:c r="E45" s="21"/>
      <x:c r="F45" s="20">
        <x:f>F7+F29+F32</x:f>
      </x:c>
      <x:c r="G45" s="20">
        <x:f>G7+G29+G32</x:f>
      </x:c>
      <x:c r="H45" s="20">
        <x:f>H7+H29+H32</x:f>
      </x:c>
      <x:c r="I45" s="15"/>
    </x:row>
    <x:row r="46" spans="1:20">
      <x:c r="B46" s="19" t="s">
        <x:v>168</x:v>
      </x:c>
      <x:c r="C46" s="20"/>
      <x:c r="D46" s="20"/>
      <x:c r="E46" s="20"/>
      <x:c r="F46" s="20"/>
      <x:c r="G46" s="20"/>
      <x:c r="H46" s="21">
        <x:f>SUM(H47:H53)</x:f>
      </x:c>
      <x:c r="I46" s="22" t="s">
        <x:v>169</x:v>
      </x:c>
    </x:row>
    <x:row r="47" spans="1:20">
      <x:c r="B47" s="21" t="s">
        <x:v>170</x:v>
      </x:c>
      <x:c r="C47" s="21"/>
      <x:c r="D47" s="21"/>
      <x:c r="E47" s="21"/>
      <x:c r="F47" s="20">
        <x:f>F9+F10+F11</x:f>
      </x:c>
      <x:c r="G47" s="20">
        <x:f>G9+G10+G11</x:f>
      </x:c>
      <x:c r="H47" s="20">
        <x:f>H9+H10+H11</x:f>
      </x:c>
      <x:c r="I47" s="15"/>
    </x:row>
    <x:row r="48" spans="1:20">
      <x:c r="B48" s="21" t="s">
        <x:v>171</x:v>
      </x:c>
      <x:c r="C48" s="21"/>
      <x:c r="D48" s="21"/>
      <x:c r="E48" s="21"/>
      <x:c r="F48" s="20"/>
      <x:c r="G48" s="20"/>
      <x:c r="H48" s="20"/>
      <x:c r="I48" s="15"/>
    </x:row>
    <x:row r="49" spans="1:20">
      <x:c r="B49" s="21" t="s">
        <x:v>172</x:v>
      </x:c>
      <x:c r="C49" s="21"/>
      <x:c r="D49" s="21"/>
      <x:c r="E49" s="21"/>
      <x:c r="F49" s="20"/>
      <x:c r="G49" s="20"/>
      <x:c r="H49" s="20"/>
      <x:c r="I49" s="15"/>
    </x:row>
    <x:row r="50" spans="1:20">
      <x:c r="B50" s="21" t="s">
        <x:v>173</x:v>
      </x:c>
      <x:c r="C50" s="21"/>
      <x:c r="D50" s="21"/>
      <x:c r="E50" s="21"/>
      <x:c r="F50" s="20">
        <x:f>F2+F8+F12+F16+F17+F22+F24+F26+F27+F38</x:f>
      </x:c>
      <x:c r="G50" s="20">
        <x:f>G2+G8+G12+G16+G17+G22+G24+G26+G27+G38</x:f>
      </x:c>
      <x:c r="H50" s="20">
        <x:f>H2+H8+H12+H16+H17+H22+H24+H26+H27+H38</x:f>
      </x:c>
      <x:c r="I50" s="15"/>
    </x:row>
    <x:row r="51" spans="1:20">
      <x:c r="B51" s="21" t="s">
        <x:v>174</x:v>
      </x:c>
      <x:c r="C51" s="21"/>
      <x:c r="D51" s="21"/>
      <x:c r="E51" s="21"/>
      <x:c r="F51" s="20">
        <x:f>F19</x:f>
      </x:c>
      <x:c r="G51" s="20">
        <x:f>G19</x:f>
      </x:c>
      <x:c r="H51" s="20">
        <x:f>H19</x:f>
      </x:c>
      <x:c r="I51" s="15"/>
    </x:row>
    <x:row r="52" spans="1:20">
      <x:c r="B52" s="21" t="s">
        <x:v>70</x:v>
      </x:c>
      <x:c r="C52" s="21"/>
      <x:c r="D52" s="21"/>
      <x:c r="E52" s="21"/>
      <x:c r="F52" s="20"/>
      <x:c r="G52" s="20"/>
      <x:c r="H52" s="20"/>
      <x:c r="I52" s="15"/>
    </x:row>
    <x:row r="53" spans="1:20">
      <x:c r="B53" s="21" t="s">
        <x:v>175</x:v>
      </x:c>
      <x:c r="C53" s="21"/>
      <x:c r="D53" s="21"/>
      <x:c r="E53" s="21"/>
      <x:c r="F53" s="20"/>
      <x:c r="G53" s="20"/>
      <x:c r="H53" s="20"/>
      <x:c r="I53" s="15"/>
    </x:row>
    <x:row r="54" spans="1:20">
      <x:c r="B54" s="19" t="s">
        <x:v>176</x:v>
      </x:c>
      <x:c r="C54" s="20"/>
      <x:c r="D54" s="20"/>
      <x:c r="E54" s="20"/>
      <x:c r="F54" s="20"/>
      <x:c r="G54" s="20"/>
      <x:c r="H54" s="21">
        <x:f>SUM(H55:H60)</x:f>
      </x:c>
      <x:c r="I54" s="22" t="s">
        <x:v>177</x:v>
      </x:c>
    </x:row>
    <x:row r="55" spans="1:20">
      <x:c r="B55" s="21" t="s">
        <x:v>178</x:v>
      </x:c>
      <x:c r="C55" s="21"/>
      <x:c r="D55" s="21"/>
      <x:c r="E55" s="21"/>
      <x:c r="F55" s="20"/>
      <x:c r="G55" s="20"/>
      <x:c r="H55" s="20"/>
      <x:c r="I55" s="15"/>
    </x:row>
    <x:row r="56" spans="1:20">
      <x:c r="B56" s="21" t="s">
        <x:v>179</x:v>
      </x:c>
      <x:c r="C56" s="21"/>
      <x:c r="D56" s="21"/>
      <x:c r="E56" s="21"/>
      <x:c r="F56" s="20">
        <x:f>F33</x:f>
      </x:c>
      <x:c r="G56" s="20">
        <x:f>G33</x:f>
      </x:c>
      <x:c r="H56" s="20">
        <x:f>H33</x:f>
      </x:c>
      <x:c r="I56" s="15"/>
    </x:row>
    <x:row r="57" spans="1:20">
      <x:c r="B57" s="21" t="s">
        <x:v>54</x:v>
      </x:c>
      <x:c r="C57" s="21"/>
      <x:c r="D57" s="21"/>
      <x:c r="E57" s="21"/>
      <x:c r="F57" s="20"/>
      <x:c r="G57" s="20"/>
      <x:c r="H57" s="20"/>
      <x:c r="I57" s="15"/>
    </x:row>
    <x:row r="58" spans="1:20">
      <x:c r="B58" s="21" t="s">
        <x:v>180</x:v>
      </x:c>
      <x:c r="C58" s="21"/>
      <x:c r="D58" s="21"/>
      <x:c r="E58" s="21"/>
      <x:c r="F58" s="20">
        <x:f>F34</x:f>
      </x:c>
      <x:c r="G58" s="20">
        <x:f>G34</x:f>
      </x:c>
      <x:c r="H58" s="20">
        <x:f>H34</x:f>
      </x:c>
      <x:c r="I58" s="15"/>
    </x:row>
    <x:row r="59" spans="1:20">
      <x:c r="B59" s="21" t="s">
        <x:v>181</x:v>
      </x:c>
      <x:c r="C59" s="21"/>
      <x:c r="D59" s="21"/>
      <x:c r="E59" s="21"/>
      <x:c r="F59" s="20">
        <x:f>F20+F28+F35</x:f>
      </x:c>
      <x:c r="G59" s="20">
        <x:f>G20+G28+G35</x:f>
      </x:c>
      <x:c r="H59" s="20">
        <x:f>H20+H28+H35</x:f>
      </x:c>
      <x:c r="I59" s="15"/>
    </x:row>
    <x:row r="60" spans="1:20">
      <x:c r="B60" s="21" t="s">
        <x:v>182</x:v>
      </x:c>
      <x:c r="C60" s="21"/>
      <x:c r="D60" s="21"/>
      <x:c r="E60" s="21"/>
      <x:c r="F60" s="20">
        <x:f>F18</x:f>
      </x:c>
      <x:c r="G60" s="20">
        <x:f>G18</x:f>
      </x:c>
      <x:c r="H60" s="20">
        <x:f>H18</x:f>
      </x:c>
      <x:c r="I60" s="15"/>
    </x:row>
    <x:row r="61" spans="1:20">
      <x:c r="B61" s="19" t="s">
        <x:v>183</x:v>
      </x:c>
      <x:c r="C61" s="20"/>
      <x:c r="D61" s="20"/>
      <x:c r="E61" s="20"/>
      <x:c r="F61" s="20"/>
      <x:c r="G61" s="20"/>
      <x:c r="H61" s="21">
        <x:f>SUM(H62:H63)</x:f>
      </x:c>
      <x:c r="I61" s="22"/>
    </x:row>
    <x:row r="62" spans="1:20">
      <x:c r="B62" s="21" t="s">
        <x:v>184</x:v>
      </x:c>
      <x:c r="C62" s="21"/>
      <x:c r="D62" s="21"/>
      <x:c r="E62" s="21"/>
      <x:c r="F62" s="20"/>
      <x:c r="G62" s="20"/>
      <x:c r="H62" s="20"/>
      <x:c r="I62" s="15"/>
    </x:row>
    <x:row r="63" spans="1:20">
      <x:c r="B63" s="21" t="s">
        <x:v>185</x:v>
      </x:c>
      <x:c r="C63" s="21"/>
      <x:c r="D63" s="21"/>
      <x:c r="E63" s="21"/>
      <x:c r="F63" s="20"/>
      <x:c r="G63" s="20"/>
      <x:c r="H63" s="20"/>
      <x:c r="I63" s="15"/>
    </x:row>
    <x:row r="64" spans="1:20">
      <x:c r="B64" s="22"/>
      <x:c r="C64" s="22"/>
      <x:c r="D64" s="22"/>
      <x:c r="E64" s="22"/>
      <x:c r="F64" s="15"/>
      <x:c r="G64" s="15"/>
      <x:c r="H64" s="22">
        <x:f>H42+H46+H54+H61</x:f>
      </x:c>
      <x:c r="I64" s="15"/>
    </x:row>
    <x:row r="65" spans="1:20">
      <x:c r="H65" s="17">
        <x:f>H64 - H40</x:f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AD2E6C8-BDBC-2C40-ABAB-FAB956017D14}" mc:Ignorable="x14ac xr xr2 xr3">
  <x:sheetPr>
    <x:outlinePr summaryBelow="1" summaryRight="1"/>
  </x:sheetPr>
  <x:dimension ref="A1:T40"/>
  <x:sheetViews>
    <x:sheetView workbookViewId="0">
      <x:selection activeCell="O41" sqref="O41"/>
    </x:sheetView>
  </x:sheetViews>
  <x:sheetFormatPr defaultColWidth="11.085625" defaultRowHeight="15.75"/>
  <x:sheetData>
    <x:row r="1" spans="1:2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</x:row>
    <x:row r="2" spans="1:20">
      <x:c r="A2" s="0">
        <x:v>1</x:v>
      </x:c>
      <x:c r="B2" s="0" t="s">
        <x:v>20</x:v>
      </x:c>
      <x:c r="C2" s="0" t="s">
        <x:v>21</x:v>
      </x:c>
      <x:c r="D2" s="0" t="s">
        <x:v>22</x:v>
      </x:c>
      <x:c r="E2" s="0">
        <x:v>1</x:v>
      </x:c>
      <x:c r="F2" s="0">
        <x:v>3</x:v>
      </x:c>
      <x:c r="G2" s="8">
        <x:v>150</x:v>
      </x:c>
      <x:c r="H2" s="8">
        <x:v>450</x:v>
      </x:c>
      <x:c r="I2" s="0" t="s">
        <x:v>23</x:v>
      </x:c>
      <x:c r="K2" s="8">
        <x:v>450</x:v>
      </x:c>
      <x:c r="L2" s="0" t="s">
        <x:v>24</x:v>
      </x:c>
      <x:c r="M2" s="0" t="s">
        <x:v>25</x:v>
      </x:c>
      <x:c r="N2" s="0" t="s">
        <x:v>26</x:v>
      </x:c>
      <x:c r="P2" s="0" t="s">
        <x:v>27</x:v>
      </x:c>
    </x:row>
    <x:row r="3" spans="1:20">
      <x:c r="A3" s="0">
        <x:v>2</x:v>
      </x:c>
      <x:c r="B3" s="0" t="s">
        <x:v>132</x:v>
      </x:c>
      <x:c r="C3" s="0" t="s">
        <x:v>21</x:v>
      </x:c>
      <x:c r="D3" s="0" t="s">
        <x:v>34</x:v>
      </x:c>
      <x:c r="E3" s="0">
        <x:v>1</x:v>
      </x:c>
      <x:c r="F3" s="0">
        <x:v>0.1</x:v>
      </x:c>
      <x:c r="G3" s="8">
        <x:v>3210</x:v>
      </x:c>
      <x:c r="H3" s="8">
        <x:v>321</x:v>
      </x:c>
      <x:c r="I3" s="0" t="s">
        <x:v>23</x:v>
      </x:c>
      <x:c r="K3" s="8">
        <x:v>321</x:v>
      </x:c>
      <x:c r="L3" s="0" t="s">
        <x:v>24</x:v>
      </x:c>
      <x:c r="M3" s="0" t="s">
        <x:v>25</x:v>
      </x:c>
      <x:c r="N3" s="0" t="s">
        <x:v>26</x:v>
      </x:c>
      <x:c r="P3" s="0" t="s">
        <x:v>27</x:v>
      </x:c>
    </x:row>
    <x:row r="4" spans="1:20">
      <x:c r="A4" s="0">
        <x:v>3</x:v>
      </x:c>
      <x:c r="B4" s="0" t="s">
        <x:v>74</x:v>
      </x:c>
      <x:c r="C4" s="0" t="s">
        <x:v>21</x:v>
      </x:c>
      <x:c r="D4" s="0" t="s">
        <x:v>22</x:v>
      </x:c>
      <x:c r="E4" s="0">
        <x:v>1</x:v>
      </x:c>
      <x:c r="F4" s="0">
        <x:v>2</x:v>
      </x:c>
      <x:c r="G4" s="8">
        <x:v>250</x:v>
      </x:c>
      <x:c r="H4" s="8">
        <x:v>500</x:v>
      </x:c>
      <x:c r="I4" s="0" t="s">
        <x:v>23</x:v>
      </x:c>
      <x:c r="K4" s="8">
        <x:v>500</x:v>
      </x:c>
      <x:c r="L4" s="0" t="s">
        <x:v>24</x:v>
      </x:c>
      <x:c r="M4" s="0" t="s">
        <x:v>25</x:v>
      </x:c>
      <x:c r="N4" s="0" t="s">
        <x:v>26</x:v>
      </x:c>
      <x:c r="P4" s="0" t="s">
        <x:v>27</x:v>
      </x:c>
    </x:row>
    <x:row r="5" spans="1:20">
      <x:c r="A5" s="0">
        <x:v>4</x:v>
      </x:c>
      <x:c r="B5" s="0" t="s">
        <x:v>29</x:v>
      </x:c>
      <x:c r="C5" s="0" t="s">
        <x:v>21</x:v>
      </x:c>
      <x:c r="D5" s="0" t="s">
        <x:v>22</x:v>
      </x:c>
      <x:c r="E5" s="0">
        <x:v>1</x:v>
      </x:c>
      <x:c r="F5" s="0">
        <x:v>7</x:v>
      </x:c>
      <x:c r="G5" s="8">
        <x:v>235.71</x:v>
      </x:c>
      <x:c r="H5" s="8">
        <x:v>1650</x:v>
      </x:c>
      <x:c r="I5" s="0" t="s">
        <x:v>23</x:v>
      </x:c>
      <x:c r="K5" s="8">
        <x:v>1650</x:v>
      </x:c>
      <x:c r="L5" s="0" t="s">
        <x:v>24</x:v>
      </x:c>
      <x:c r="M5" s="0" t="s">
        <x:v>25</x:v>
      </x:c>
      <x:c r="N5" s="0" t="s">
        <x:v>26</x:v>
      </x:c>
      <x:c r="P5" s="0" t="s">
        <x:v>27</x:v>
      </x:c>
    </x:row>
    <x:row r="6" spans="1:20">
      <x:c r="A6" s="0">
        <x:v>5</x:v>
      </x:c>
      <x:c r="B6" s="0" t="s">
        <x:v>30</x:v>
      </x:c>
      <x:c r="C6" s="0" t="s">
        <x:v>21</x:v>
      </x:c>
      <x:c r="D6" s="0" t="s">
        <x:v>22</x:v>
      </x:c>
      <x:c r="E6" s="0">
        <x:v>1</x:v>
      </x:c>
      <x:c r="F6" s="0">
        <x:v>7</x:v>
      </x:c>
      <x:c r="G6" s="8">
        <x:v>315.86</x:v>
      </x:c>
      <x:c r="H6" s="8">
        <x:v>2211</x:v>
      </x:c>
      <x:c r="I6" s="0" t="s">
        <x:v>23</x:v>
      </x:c>
      <x:c r="K6" s="8">
        <x:v>2211</x:v>
      </x:c>
      <x:c r="L6" s="0" t="s">
        <x:v>24</x:v>
      </x:c>
      <x:c r="M6" s="0" t="s">
        <x:v>25</x:v>
      </x:c>
      <x:c r="N6" s="0" t="s">
        <x:v>26</x:v>
      </x:c>
      <x:c r="P6" s="0" t="s">
        <x:v>27</x:v>
      </x:c>
    </x:row>
    <x:row r="7" spans="1:20">
      <x:c r="A7" s="0">
        <x:v>6</x:v>
      </x:c>
      <x:c r="B7" s="0" t="s">
        <x:v>31</x:v>
      </x:c>
      <x:c r="C7" s="0" t="s">
        <x:v>21</x:v>
      </x:c>
      <x:c r="D7" s="0" t="s">
        <x:v>22</x:v>
      </x:c>
      <x:c r="E7" s="0">
        <x:v>1</x:v>
      </x:c>
      <x:c r="F7" s="0">
        <x:v>1</x:v>
      </x:c>
      <x:c r="G7" s="8">
        <x:v>90</x:v>
      </x:c>
      <x:c r="H7" s="8">
        <x:v>90</x:v>
      </x:c>
      <x:c r="I7" s="0" t="s">
        <x:v>23</x:v>
      </x:c>
      <x:c r="K7" s="8">
        <x:v>90</x:v>
      </x:c>
      <x:c r="L7" s="0" t="s">
        <x:v>24</x:v>
      </x:c>
      <x:c r="M7" s="0" t="s">
        <x:v>25</x:v>
      </x:c>
      <x:c r="N7" s="0" t="s">
        <x:v>26</x:v>
      </x:c>
      <x:c r="P7" s="0" t="s">
        <x:v>27</x:v>
      </x:c>
    </x:row>
    <x:row r="8" spans="1:20">
      <x:c r="A8" s="0">
        <x:v>7</x:v>
      </x:c>
      <x:c r="B8" s="0" t="s">
        <x:v>32</x:v>
      </x:c>
      <x:c r="C8" s="0" t="s">
        <x:v>21</x:v>
      </x:c>
      <x:c r="D8" s="0" t="s">
        <x:v>22</x:v>
      </x:c>
      <x:c r="E8" s="0">
        <x:v>1</x:v>
      </x:c>
      <x:c r="F8" s="0">
        <x:v>2</x:v>
      </x:c>
      <x:c r="G8" s="8">
        <x:v>80</x:v>
      </x:c>
      <x:c r="H8" s="8">
        <x:v>160</x:v>
      </x:c>
      <x:c r="I8" s="0" t="s">
        <x:v>23</x:v>
      </x:c>
      <x:c r="K8" s="8">
        <x:v>160</x:v>
      </x:c>
      <x:c r="L8" s="0" t="s">
        <x:v>24</x:v>
      </x:c>
      <x:c r="M8" s="0" t="s">
        <x:v>25</x:v>
      </x:c>
      <x:c r="N8" s="0" t="s">
        <x:v>26</x:v>
      </x:c>
      <x:c r="P8" s="0" t="s">
        <x:v>27</x:v>
      </x:c>
    </x:row>
    <x:row r="9" spans="1:20">
      <x:c r="A9" s="0">
        <x:v>8</x:v>
      </x:c>
      <x:c r="B9" s="0" t="s">
        <x:v>62</x:v>
      </x:c>
      <x:c r="C9" s="0" t="s">
        <x:v>21</x:v>
      </x:c>
      <x:c r="D9" s="0" t="s">
        <x:v>34</x:v>
      </x:c>
      <x:c r="E9" s="0">
        <x:v>1</x:v>
      </x:c>
      <x:c r="F9" s="0">
        <x:v>0.2</x:v>
      </x:c>
      <x:c r="G9" s="8">
        <x:v>3180</x:v>
      </x:c>
      <x:c r="H9" s="8">
        <x:v>636</x:v>
      </x:c>
      <x:c r="I9" s="0" t="s">
        <x:v>23</x:v>
      </x:c>
      <x:c r="K9" s="8">
        <x:v>636</x:v>
      </x:c>
      <x:c r="L9" s="0" t="s">
        <x:v>24</x:v>
      </x:c>
      <x:c r="M9" s="0" t="s">
        <x:v>25</x:v>
      </x:c>
      <x:c r="N9" s="0" t="s">
        <x:v>26</x:v>
      </x:c>
      <x:c r="P9" s="0" t="s">
        <x:v>27</x:v>
      </x:c>
    </x:row>
    <x:row r="10" spans="1:20">
      <x:c r="A10" s="0">
        <x:v>9</x:v>
      </x:c>
      <x:c r="B10" s="0" t="s">
        <x:v>79</x:v>
      </x:c>
      <x:c r="C10" s="0" t="s">
        <x:v>21</x:v>
      </x:c>
      <x:c r="D10" s="0" t="s">
        <x:v>34</x:v>
      </x:c>
      <x:c r="E10" s="0">
        <x:v>1</x:v>
      </x:c>
      <x:c r="F10" s="0">
        <x:v>0.3</x:v>
      </x:c>
      <x:c r="G10" s="8">
        <x:v>2180</x:v>
      </x:c>
      <x:c r="H10" s="8">
        <x:v>654</x:v>
      </x:c>
      <x:c r="I10" s="0" t="s">
        <x:v>23</x:v>
      </x:c>
      <x:c r="K10" s="8">
        <x:v>654</x:v>
      </x:c>
      <x:c r="L10" s="0" t="s">
        <x:v>24</x:v>
      </x:c>
      <x:c r="M10" s="0" t="s">
        <x:v>25</x:v>
      </x:c>
      <x:c r="N10" s="0" t="s">
        <x:v>26</x:v>
      </x:c>
      <x:c r="P10" s="0" t="s">
        <x:v>27</x:v>
      </x:c>
    </x:row>
    <x:row r="11" spans="1:20">
      <x:c r="A11" s="0">
        <x:v>10</x:v>
      </x:c>
      <x:c r="B11" s="0" t="s">
        <x:v>101</x:v>
      </x:c>
      <x:c r="C11" s="0" t="s">
        <x:v>21</x:v>
      </x:c>
      <x:c r="D11" s="0" t="s">
        <x:v>34</x:v>
      </x:c>
      <x:c r="E11" s="0">
        <x:v>1</x:v>
      </x:c>
      <x:c r="F11" s="0">
        <x:v>0.3</x:v>
      </x:c>
      <x:c r="G11" s="8">
        <x:v>3480</x:v>
      </x:c>
      <x:c r="H11" s="8">
        <x:v>1044</x:v>
      </x:c>
      <x:c r="I11" s="0" t="s">
        <x:v>23</x:v>
      </x:c>
      <x:c r="K11" s="8">
        <x:v>1044</x:v>
      </x:c>
      <x:c r="L11" s="0" t="s">
        <x:v>24</x:v>
      </x:c>
      <x:c r="M11" s="0" t="s">
        <x:v>25</x:v>
      </x:c>
      <x:c r="N11" s="0" t="s">
        <x:v>26</x:v>
      </x:c>
      <x:c r="P11" s="0" t="s">
        <x:v>27</x:v>
      </x:c>
    </x:row>
    <x:row r="12" spans="1:20">
      <x:c r="A12" s="0">
        <x:v>11</x:v>
      </x:c>
      <x:c r="B12" s="0" t="s">
        <x:v>64</x:v>
      </x:c>
      <x:c r="C12" s="0" t="s">
        <x:v>21</x:v>
      </x:c>
      <x:c r="D12" s="0" t="s">
        <x:v>34</x:v>
      </x:c>
      <x:c r="E12" s="0">
        <x:v>1</x:v>
      </x:c>
      <x:c r="F12" s="0">
        <x:v>0.15</x:v>
      </x:c>
      <x:c r="G12" s="8">
        <x:v>3480</x:v>
      </x:c>
      <x:c r="H12" s="8">
        <x:v>522</x:v>
      </x:c>
      <x:c r="I12" s="0" t="s">
        <x:v>23</x:v>
      </x:c>
      <x:c r="K12" s="8">
        <x:v>522</x:v>
      </x:c>
      <x:c r="L12" s="0" t="s">
        <x:v>24</x:v>
      </x:c>
      <x:c r="M12" s="0" t="s">
        <x:v>25</x:v>
      </x:c>
      <x:c r="N12" s="0" t="s">
        <x:v>26</x:v>
      </x:c>
      <x:c r="P12" s="0" t="s">
        <x:v>27</x:v>
      </x:c>
    </x:row>
    <x:row r="13" spans="1:20">
      <x:c r="A13" s="0">
        <x:v>12</x:v>
      </x:c>
      <x:c r="B13" s="0" t="s">
        <x:v>93</x:v>
      </x:c>
      <x:c r="C13" s="0" t="s">
        <x:v>21</x:v>
      </x:c>
      <x:c r="D13" s="0" t="s">
        <x:v>34</x:v>
      </x:c>
      <x:c r="E13" s="0">
        <x:v>1</x:v>
      </x:c>
      <x:c r="F13" s="0">
        <x:v>0.1</x:v>
      </x:c>
      <x:c r="G13" s="8">
        <x:v>3480</x:v>
      </x:c>
      <x:c r="H13" s="8">
        <x:v>348</x:v>
      </x:c>
      <x:c r="I13" s="0" t="s">
        <x:v>23</x:v>
      </x:c>
      <x:c r="K13" s="8">
        <x:v>348</x:v>
      </x:c>
      <x:c r="L13" s="0" t="s">
        <x:v>24</x:v>
      </x:c>
      <x:c r="M13" s="0" t="s">
        <x:v>25</x:v>
      </x:c>
      <x:c r="N13" s="0" t="s">
        <x:v>26</x:v>
      </x:c>
      <x:c r="P13" s="0" t="s">
        <x:v>27</x:v>
      </x:c>
    </x:row>
    <x:row r="14" spans="1:20">
      <x:c r="A14" s="0">
        <x:v>13</x:v>
      </x:c>
      <x:c r="B14" s="0" t="s">
        <x:v>67</x:v>
      </x:c>
      <x:c r="C14" s="0" t="s">
        <x:v>21</x:v>
      </x:c>
      <x:c r="D14" s="0" t="s">
        <x:v>34</x:v>
      </x:c>
      <x:c r="E14" s="0">
        <x:v>1</x:v>
      </x:c>
      <x:c r="F14" s="0">
        <x:v>0.1</x:v>
      </x:c>
      <x:c r="G14" s="8">
        <x:v>3180</x:v>
      </x:c>
      <x:c r="H14" s="8">
        <x:v>318</x:v>
      </x:c>
      <x:c r="I14" s="0" t="s">
        <x:v>23</x:v>
      </x:c>
      <x:c r="K14" s="8">
        <x:v>318</x:v>
      </x:c>
      <x:c r="L14" s="0" t="s">
        <x:v>24</x:v>
      </x:c>
      <x:c r="M14" s="0" t="s">
        <x:v>25</x:v>
      </x:c>
      <x:c r="N14" s="0" t="s">
        <x:v>26</x:v>
      </x:c>
      <x:c r="P14" s="0" t="s">
        <x:v>27</x:v>
      </x:c>
    </x:row>
    <x:row r="15" spans="1:20">
      <x:c r="A15" s="0">
        <x:v>14</x:v>
      </x:c>
      <x:c r="B15" s="0" t="s">
        <x:v>33</x:v>
      </x:c>
      <x:c r="C15" s="0" t="s">
        <x:v>21</x:v>
      </x:c>
      <x:c r="D15" s="0" t="s">
        <x:v>34</x:v>
      </x:c>
      <x:c r="E15" s="0">
        <x:v>1</x:v>
      </x:c>
      <x:c r="F15" s="0">
        <x:v>0.4</x:v>
      </x:c>
      <x:c r="G15" s="8">
        <x:v>3580</x:v>
      </x:c>
      <x:c r="H15" s="8">
        <x:v>1432</x:v>
      </x:c>
      <x:c r="I15" s="0" t="s">
        <x:v>23</x:v>
      </x:c>
      <x:c r="K15" s="8">
        <x:v>1432</x:v>
      </x:c>
      <x:c r="L15" s="0" t="s">
        <x:v>24</x:v>
      </x:c>
      <x:c r="M15" s="0" t="s">
        <x:v>25</x:v>
      </x:c>
      <x:c r="N15" s="0" t="s">
        <x:v>26</x:v>
      </x:c>
      <x:c r="P15" s="0" t="s">
        <x:v>27</x:v>
      </x:c>
    </x:row>
    <x:row r="16" spans="1:20">
      <x:c r="A16" s="0">
        <x:v>15</x:v>
      </x:c>
      <x:c r="B16" s="0" t="s">
        <x:v>148</x:v>
      </x:c>
      <x:c r="C16" s="0" t="s">
        <x:v>21</x:v>
      </x:c>
      <x:c r="D16" s="0" t="s">
        <x:v>34</x:v>
      </x:c>
      <x:c r="E16" s="0">
        <x:v>1</x:v>
      </x:c>
      <x:c r="F16" s="0">
        <x:v>0.3</x:v>
      </x:c>
      <x:c r="G16" s="8">
        <x:v>3480</x:v>
      </x:c>
      <x:c r="H16" s="8">
        <x:v>1044</x:v>
      </x:c>
      <x:c r="I16" s="0" t="s">
        <x:v>23</x:v>
      </x:c>
      <x:c r="K16" s="8">
        <x:v>1044</x:v>
      </x:c>
      <x:c r="L16" s="0" t="s">
        <x:v>24</x:v>
      </x:c>
      <x:c r="M16" s="0" t="s">
        <x:v>25</x:v>
      </x:c>
      <x:c r="N16" s="0" t="s">
        <x:v>26</x:v>
      </x:c>
      <x:c r="P16" s="0" t="s">
        <x:v>27</x:v>
      </x:c>
    </x:row>
    <x:row r="17" spans="1:20">
      <x:c r="A17" s="0">
        <x:v>16</x:v>
      </x:c>
      <x:c r="B17" s="0" t="s">
        <x:v>160</x:v>
      </x:c>
      <x:c r="C17" s="0" t="s">
        <x:v>21</x:v>
      </x:c>
      <x:c r="D17" s="0" t="s">
        <x:v>22</x:v>
      </x:c>
      <x:c r="E17" s="0">
        <x:v>1</x:v>
      </x:c>
      <x:c r="F17" s="0">
        <x:v>1</x:v>
      </x:c>
      <x:c r="G17" s="8">
        <x:v>250</x:v>
      </x:c>
      <x:c r="H17" s="8">
        <x:v>250</x:v>
      </x:c>
      <x:c r="I17" s="0" t="s">
        <x:v>23</x:v>
      </x:c>
      <x:c r="K17" s="8">
        <x:v>250</x:v>
      </x:c>
      <x:c r="L17" s="0" t="s">
        <x:v>24</x:v>
      </x:c>
      <x:c r="M17" s="0" t="s">
        <x:v>25</x:v>
      </x:c>
      <x:c r="N17" s="0" t="s">
        <x:v>26</x:v>
      </x:c>
      <x:c r="P17" s="0" t="s">
        <x:v>27</x:v>
      </x:c>
    </x:row>
    <x:row r="18" spans="1:20">
      <x:c r="A18" s="0">
        <x:v>17</x:v>
      </x:c>
      <x:c r="B18" s="0" t="s">
        <x:v>70</x:v>
      </x:c>
      <x:c r="C18" s="0" t="s">
        <x:v>21</x:v>
      </x:c>
      <x:c r="D18" s="0" t="s">
        <x:v>22</x:v>
      </x:c>
      <x:c r="E18" s="0">
        <x:v>1</x:v>
      </x:c>
      <x:c r="F18" s="0">
        <x:v>2</x:v>
      </x:c>
      <x:c r="G18" s="8">
        <x:v>126</x:v>
      </x:c>
      <x:c r="H18" s="8">
        <x:v>252</x:v>
      </x:c>
      <x:c r="I18" s="0" t="s">
        <x:v>23</x:v>
      </x:c>
      <x:c r="K18" s="8">
        <x:v>252</x:v>
      </x:c>
      <x:c r="L18" s="0" t="s">
        <x:v>24</x:v>
      </x:c>
      <x:c r="M18" s="0" t="s">
        <x:v>25</x:v>
      </x:c>
      <x:c r="N18" s="0" t="s">
        <x:v>26</x:v>
      </x:c>
      <x:c r="P18" s="0" t="s">
        <x:v>27</x:v>
      </x:c>
    </x:row>
    <x:row r="19" spans="1:20">
      <x:c r="A19" s="0">
        <x:v>18</x:v>
      </x:c>
      <x:c r="B19" s="0" t="s">
        <x:v>37</x:v>
      </x:c>
      <x:c r="C19" s="0" t="s">
        <x:v>21</x:v>
      </x:c>
      <x:c r="D19" s="0" t="s">
        <x:v>22</x:v>
      </x:c>
      <x:c r="E19" s="0">
        <x:v>1</x:v>
      </x:c>
      <x:c r="F19" s="0">
        <x:v>1</x:v>
      </x:c>
      <x:c r="G19" s="8">
        <x:v>350</x:v>
      </x:c>
      <x:c r="H19" s="8">
        <x:v>350</x:v>
      </x:c>
      <x:c r="I19" s="0" t="s">
        <x:v>23</x:v>
      </x:c>
      <x:c r="K19" s="8">
        <x:v>350</x:v>
      </x:c>
      <x:c r="L19" s="0" t="s">
        <x:v>24</x:v>
      </x:c>
      <x:c r="M19" s="0" t="s">
        <x:v>25</x:v>
      </x:c>
      <x:c r="N19" s="0" t="s">
        <x:v>26</x:v>
      </x:c>
      <x:c r="P19" s="0" t="s">
        <x:v>27</x:v>
      </x:c>
    </x:row>
    <x:row r="20" spans="1:20">
      <x:c r="A20" s="0">
        <x:v>19</x:v>
      </x:c>
      <x:c r="B20" s="0" t="s">
        <x:v>39</x:v>
      </x:c>
      <x:c r="C20" s="0" t="s">
        <x:v>21</x:v>
      </x:c>
      <x:c r="D20" s="0" t="s">
        <x:v>22</x:v>
      </x:c>
      <x:c r="E20" s="0">
        <x:v>1</x:v>
      </x:c>
      <x:c r="F20" s="0">
        <x:v>4</x:v>
      </x:c>
      <x:c r="G20" s="8">
        <x:v>250</x:v>
      </x:c>
      <x:c r="H20" s="8">
        <x:v>1000</x:v>
      </x:c>
      <x:c r="I20" s="0" t="s">
        <x:v>23</x:v>
      </x:c>
      <x:c r="K20" s="8">
        <x:v>1000</x:v>
      </x:c>
      <x:c r="L20" s="0" t="s">
        <x:v>24</x:v>
      </x:c>
      <x:c r="M20" s="0" t="s">
        <x:v>25</x:v>
      </x:c>
      <x:c r="N20" s="0" t="s">
        <x:v>26</x:v>
      </x:c>
      <x:c r="P20" s="0" t="s">
        <x:v>27</x:v>
      </x:c>
    </x:row>
    <x:row r="21" spans="1:20">
      <x:c r="A21" s="0">
        <x:v>20</x:v>
      </x:c>
      <x:c r="B21" s="0" t="s">
        <x:v>40</x:v>
      </x:c>
      <x:c r="C21" s="0" t="s">
        <x:v>21</x:v>
      </x:c>
      <x:c r="D21" s="0" t="s">
        <x:v>22</x:v>
      </x:c>
      <x:c r="E21" s="0">
        <x:v>1</x:v>
      </x:c>
      <x:c r="F21" s="0">
        <x:v>4</x:v>
      </x:c>
      <x:c r="G21" s="8">
        <x:v>400</x:v>
      </x:c>
      <x:c r="H21" s="8">
        <x:v>1600</x:v>
      </x:c>
      <x:c r="I21" s="0" t="s">
        <x:v>23</x:v>
      </x:c>
      <x:c r="K21" s="8">
        <x:v>1600</x:v>
      </x:c>
      <x:c r="L21" s="0" t="s">
        <x:v>24</x:v>
      </x:c>
      <x:c r="M21" s="0" t="s">
        <x:v>25</x:v>
      </x:c>
      <x:c r="N21" s="0" t="s">
        <x:v>26</x:v>
      </x:c>
      <x:c r="P21" s="0" t="s">
        <x:v>27</x:v>
      </x:c>
    </x:row>
    <x:row r="22" spans="1:20">
      <x:c r="A22" s="0">
        <x:v>21</x:v>
      </x:c>
      <x:c r="B22" s="0" t="s">
        <x:v>41</x:v>
      </x:c>
      <x:c r="C22" s="0" t="s">
        <x:v>21</x:v>
      </x:c>
      <x:c r="D22" s="0" t="s">
        <x:v>22</x:v>
      </x:c>
      <x:c r="E22" s="0">
        <x:v>1</x:v>
      </x:c>
      <x:c r="F22" s="0">
        <x:v>2</x:v>
      </x:c>
      <x:c r="G22" s="8">
        <x:v>272</x:v>
      </x:c>
      <x:c r="H22" s="8">
        <x:v>544</x:v>
      </x:c>
      <x:c r="I22" s="0" t="s">
        <x:v>23</x:v>
      </x:c>
      <x:c r="K22" s="8">
        <x:v>544</x:v>
      </x:c>
      <x:c r="L22" s="0" t="s">
        <x:v>24</x:v>
      </x:c>
      <x:c r="M22" s="0" t="s">
        <x:v>25</x:v>
      </x:c>
      <x:c r="N22" s="0" t="s">
        <x:v>26</x:v>
      </x:c>
      <x:c r="P22" s="0" t="s">
        <x:v>27</x:v>
      </x:c>
    </x:row>
    <x:row r="23" spans="1:20">
      <x:c r="A23" s="0">
        <x:v>22</x:v>
      </x:c>
      <x:c r="B23" s="0" t="s">
        <x:v>44</x:v>
      </x:c>
      <x:c r="C23" s="0" t="s">
        <x:v>21</x:v>
      </x:c>
      <x:c r="D23" s="0" t="s">
        <x:v>22</x:v>
      </x:c>
      <x:c r="E23" s="0">
        <x:v>1</x:v>
      </x:c>
      <x:c r="F23" s="0">
        <x:v>3</x:v>
      </x:c>
      <x:c r="G23" s="8">
        <x:v>80.73</x:v>
      </x:c>
      <x:c r="H23" s="8">
        <x:v>242.2</x:v>
      </x:c>
      <x:c r="I23" s="0" t="s">
        <x:v>23</x:v>
      </x:c>
      <x:c r="K23" s="8">
        <x:v>242.2</x:v>
      </x:c>
      <x:c r="L23" s="0" t="s">
        <x:v>24</x:v>
      </x:c>
      <x:c r="M23" s="0" t="s">
        <x:v>25</x:v>
      </x:c>
      <x:c r="N23" s="0" t="s">
        <x:v>26</x:v>
      </x:c>
      <x:c r="P23" s="0" t="s">
        <x:v>27</x:v>
      </x:c>
    </x:row>
    <x:row r="24" spans="1:20">
      <x:c r="A24" s="0">
        <x:v>23</x:v>
      </x:c>
      <x:c r="B24" s="0" t="s">
        <x:v>46</x:v>
      </x:c>
      <x:c r="C24" s="0" t="s">
        <x:v>21</x:v>
      </x:c>
      <x:c r="D24" s="0" t="s">
        <x:v>22</x:v>
      </x:c>
      <x:c r="E24" s="0">
        <x:v>1</x:v>
      </x:c>
      <x:c r="F24" s="0">
        <x:v>2</x:v>
      </x:c>
      <x:c r="G24" s="8">
        <x:v>180</x:v>
      </x:c>
      <x:c r="H24" s="8">
        <x:v>360</x:v>
      </x:c>
      <x:c r="I24" s="0" t="s">
        <x:v>23</x:v>
      </x:c>
      <x:c r="K24" s="8">
        <x:v>360</x:v>
      </x:c>
      <x:c r="L24" s="0" t="s">
        <x:v>24</x:v>
      </x:c>
      <x:c r="M24" s="0" t="s">
        <x:v>25</x:v>
      </x:c>
      <x:c r="N24" s="0" t="s">
        <x:v>26</x:v>
      </x:c>
      <x:c r="P24" s="0" t="s">
        <x:v>27</x:v>
      </x:c>
    </x:row>
    <x:row r="25" spans="1:20">
      <x:c r="A25" s="0">
        <x:v>24</x:v>
      </x:c>
      <x:c r="B25" s="0" t="s">
        <x:v>47</x:v>
      </x:c>
      <x:c r="C25" s="0" t="s">
        <x:v>21</x:v>
      </x:c>
      <x:c r="D25" s="0" t="s">
        <x:v>22</x:v>
      </x:c>
      <x:c r="E25" s="0">
        <x:v>1</x:v>
      </x:c>
      <x:c r="F25" s="0">
        <x:v>3</x:v>
      </x:c>
      <x:c r="G25" s="8">
        <x:v>263.18</x:v>
      </x:c>
      <x:c r="H25" s="8">
        <x:v>789.54</x:v>
      </x:c>
      <x:c r="I25" s="0" t="s">
        <x:v>23</x:v>
      </x:c>
      <x:c r="K25" s="8">
        <x:v>789.54</x:v>
      </x:c>
      <x:c r="L25" s="0" t="s">
        <x:v>24</x:v>
      </x:c>
      <x:c r="M25" s="0" t="s">
        <x:v>25</x:v>
      </x:c>
      <x:c r="N25" s="0" t="s">
        <x:v>26</x:v>
      </x:c>
      <x:c r="P25" s="0" t="s">
        <x:v>27</x:v>
      </x:c>
    </x:row>
    <x:row r="26" spans="1:20">
      <x:c r="A26" s="0">
        <x:v>25</x:v>
      </x:c>
      <x:c r="B26" s="0" t="s">
        <x:v>49</x:v>
      </x:c>
      <x:c r="C26" s="0" t="s">
        <x:v>21</x:v>
      </x:c>
      <x:c r="D26" s="0" t="s">
        <x:v>22</x:v>
      </x:c>
      <x:c r="E26" s="0">
        <x:v>1</x:v>
      </x:c>
      <x:c r="F26" s="0">
        <x:v>1</x:v>
      </x:c>
      <x:c r="G26" s="8">
        <x:v>250</x:v>
      </x:c>
      <x:c r="H26" s="8">
        <x:v>250</x:v>
      </x:c>
      <x:c r="I26" s="0" t="s">
        <x:v>23</x:v>
      </x:c>
      <x:c r="K26" s="8">
        <x:v>250</x:v>
      </x:c>
      <x:c r="L26" s="0" t="s">
        <x:v>24</x:v>
      </x:c>
      <x:c r="M26" s="0" t="s">
        <x:v>25</x:v>
      </x:c>
      <x:c r="N26" s="0" t="s">
        <x:v>26</x:v>
      </x:c>
      <x:c r="P26" s="0" t="s">
        <x:v>27</x:v>
      </x:c>
    </x:row>
    <x:row r="27" spans="1:20">
      <x:c r="A27" s="0">
        <x:v>26</x:v>
      </x:c>
      <x:c r="B27" s="0" t="s">
        <x:v>95</x:v>
      </x:c>
      <x:c r="C27" s="0" t="s">
        <x:v>21</x:v>
      </x:c>
      <x:c r="D27" s="0" t="s">
        <x:v>22</x:v>
      </x:c>
      <x:c r="E27" s="0">
        <x:v>1</x:v>
      </x:c>
      <x:c r="F27" s="0">
        <x:v>1</x:v>
      </x:c>
      <x:c r="G27" s="8">
        <x:v>254.84</x:v>
      </x:c>
      <x:c r="H27" s="8">
        <x:v>254.84</x:v>
      </x:c>
      <x:c r="I27" s="0" t="s">
        <x:v>23</x:v>
      </x:c>
      <x:c r="K27" s="8">
        <x:v>254.84</x:v>
      </x:c>
      <x:c r="L27" s="0" t="s">
        <x:v>24</x:v>
      </x:c>
      <x:c r="M27" s="0" t="s">
        <x:v>25</x:v>
      </x:c>
      <x:c r="N27" s="0" t="s">
        <x:v>26</x:v>
      </x:c>
      <x:c r="P27" s="0" t="s">
        <x:v>27</x:v>
      </x:c>
    </x:row>
    <x:row r="28" spans="1:20">
      <x:c r="A28" s="0">
        <x:v>27</x:v>
      </x:c>
      <x:c r="B28" s="0" t="s">
        <x:v>144</x:v>
      </x:c>
      <x:c r="C28" s="0" t="s">
        <x:v>21</x:v>
      </x:c>
      <x:c r="D28" s="0" t="s">
        <x:v>22</x:v>
      </x:c>
      <x:c r="E28" s="0">
        <x:v>1</x:v>
      </x:c>
      <x:c r="F28" s="0">
        <x:v>1</x:v>
      </x:c>
      <x:c r="G28" s="8">
        <x:v>15</x:v>
      </x:c>
      <x:c r="H28" s="8">
        <x:v>15</x:v>
      </x:c>
      <x:c r="I28" s="0" t="s">
        <x:v>23</x:v>
      </x:c>
      <x:c r="K28" s="8">
        <x:v>15</x:v>
      </x:c>
      <x:c r="L28" s="0" t="s">
        <x:v>24</x:v>
      </x:c>
      <x:c r="M28" s="0" t="s">
        <x:v>25</x:v>
      </x:c>
      <x:c r="N28" s="0" t="s">
        <x:v>26</x:v>
      </x:c>
      <x:c r="P28" s="0" t="s">
        <x:v>27</x:v>
      </x:c>
    </x:row>
    <x:row r="29" spans="1:20">
      <x:c r="A29" s="0">
        <x:v>28</x:v>
      </x:c>
      <x:c r="B29" s="0" t="s">
        <x:v>50</x:v>
      </x:c>
      <x:c r="C29" s="0" t="s">
        <x:v>21</x:v>
      </x:c>
      <x:c r="D29" s="0" t="s">
        <x:v>22</x:v>
      </x:c>
      <x:c r="E29" s="0">
        <x:v>1</x:v>
      </x:c>
      <x:c r="F29" s="0">
        <x:v>3</x:v>
      </x:c>
      <x:c r="G29" s="8">
        <x:v>120</x:v>
      </x:c>
      <x:c r="H29" s="8">
        <x:v>360</x:v>
      </x:c>
      <x:c r="I29" s="0" t="s">
        <x:v>23</x:v>
      </x:c>
      <x:c r="K29" s="8">
        <x:v>360</x:v>
      </x:c>
      <x:c r="L29" s="0" t="s">
        <x:v>24</x:v>
      </x:c>
      <x:c r="M29" s="0" t="s">
        <x:v>25</x:v>
      </x:c>
      <x:c r="N29" s="0" t="s">
        <x:v>26</x:v>
      </x:c>
      <x:c r="P29" s="0" t="s">
        <x:v>27</x:v>
      </x:c>
    </x:row>
    <x:row r="30" spans="1:20">
      <x:c r="A30" s="0">
        <x:v>29</x:v>
      </x:c>
      <x:c r="B30" s="0" t="s">
        <x:v>51</x:v>
      </x:c>
      <x:c r="C30" s="0" t="s">
        <x:v>21</x:v>
      </x:c>
      <x:c r="D30" s="0" t="s">
        <x:v>22</x:v>
      </x:c>
      <x:c r="E30" s="0">
        <x:v>1</x:v>
      </x:c>
      <x:c r="F30" s="0">
        <x:v>7</x:v>
      </x:c>
      <x:c r="G30" s="8">
        <x:v>58.71</x:v>
      </x:c>
      <x:c r="H30" s="8">
        <x:v>410.96</x:v>
      </x:c>
      <x:c r="I30" s="0" t="s">
        <x:v>23</x:v>
      </x:c>
      <x:c r="K30" s="8">
        <x:v>410.96</x:v>
      </x:c>
      <x:c r="L30" s="0" t="s">
        <x:v>24</x:v>
      </x:c>
      <x:c r="M30" s="0" t="s">
        <x:v>25</x:v>
      </x:c>
      <x:c r="N30" s="0" t="s">
        <x:v>26</x:v>
      </x:c>
      <x:c r="P30" s="0" t="s">
        <x:v>27</x:v>
      </x:c>
    </x:row>
    <x:row r="31" spans="1:20">
      <x:c r="A31" s="0">
        <x:v>30</x:v>
      </x:c>
      <x:c r="B31" s="0" t="s">
        <x:v>52</x:v>
      </x:c>
      <x:c r="C31" s="0" t="s">
        <x:v>21</x:v>
      </x:c>
      <x:c r="D31" s="0" t="s">
        <x:v>22</x:v>
      </x:c>
      <x:c r="E31" s="0">
        <x:v>1</x:v>
      </x:c>
      <x:c r="F31" s="0">
        <x:v>3</x:v>
      </x:c>
      <x:c r="G31" s="8">
        <x:v>256.5</x:v>
      </x:c>
      <x:c r="H31" s="8">
        <x:v>769.5</x:v>
      </x:c>
      <x:c r="I31" s="0" t="s">
        <x:v>23</x:v>
      </x:c>
      <x:c r="K31" s="8">
        <x:v>769.5</x:v>
      </x:c>
      <x:c r="L31" s="0" t="s">
        <x:v>24</x:v>
      </x:c>
      <x:c r="M31" s="0" t="s">
        <x:v>25</x:v>
      </x:c>
      <x:c r="N31" s="0" t="s">
        <x:v>26</x:v>
      </x:c>
      <x:c r="P31" s="0" t="s">
        <x:v>27</x:v>
      </x:c>
    </x:row>
    <x:row r="32" spans="1:20">
      <x:c r="A32" s="0">
        <x:v>31</x:v>
      </x:c>
      <x:c r="B32" s="0" t="s">
        <x:v>137</x:v>
      </x:c>
      <x:c r="C32" s="0" t="s">
        <x:v>21</x:v>
      </x:c>
      <x:c r="D32" s="0" t="s">
        <x:v>22</x:v>
      </x:c>
      <x:c r="E32" s="0">
        <x:v>1</x:v>
      </x:c>
      <x:c r="F32" s="0">
        <x:v>1</x:v>
      </x:c>
      <x:c r="G32" s="8">
        <x:v>250</x:v>
      </x:c>
      <x:c r="H32" s="8">
        <x:v>250</x:v>
      </x:c>
      <x:c r="I32" s="0" t="s">
        <x:v>23</x:v>
      </x:c>
      <x:c r="K32" s="8">
        <x:v>250</x:v>
      </x:c>
      <x:c r="L32" s="0" t="s">
        <x:v>24</x:v>
      </x:c>
      <x:c r="M32" s="0" t="s">
        <x:v>25</x:v>
      </x:c>
      <x:c r="N32" s="0" t="s">
        <x:v>26</x:v>
      </x:c>
      <x:c r="P32" s="0" t="s">
        <x:v>27</x:v>
      </x:c>
    </x:row>
    <x:row r="33" spans="1:20">
      <x:c r="A33" s="0">
        <x:v>32</x:v>
      </x:c>
      <x:c r="B33" s="0" t="s">
        <x:v>53</x:v>
      </x:c>
      <x:c r="C33" s="0" t="s">
        <x:v>21</x:v>
      </x:c>
      <x:c r="D33" s="0" t="s">
        <x:v>22</x:v>
      </x:c>
      <x:c r="E33" s="0">
        <x:v>1</x:v>
      </x:c>
      <x:c r="F33" s="0">
        <x:v>2</x:v>
      </x:c>
      <x:c r="G33" s="8">
        <x:v>37</x:v>
      </x:c>
      <x:c r="H33" s="8">
        <x:v>74</x:v>
      </x:c>
      <x:c r="I33" s="0" t="s">
        <x:v>23</x:v>
      </x:c>
      <x:c r="K33" s="8">
        <x:v>74</x:v>
      </x:c>
      <x:c r="L33" s="0" t="s">
        <x:v>24</x:v>
      </x:c>
      <x:c r="M33" s="0" t="s">
        <x:v>25</x:v>
      </x:c>
      <x:c r="N33" s="0" t="s">
        <x:v>26</x:v>
      </x:c>
      <x:c r="P33" s="0" t="s">
        <x:v>27</x:v>
      </x:c>
    </x:row>
    <x:row r="34" spans="1:20">
      <x:c r="A34" s="0">
        <x:v>33</x:v>
      </x:c>
      <x:c r="B34" s="0" t="s">
        <x:v>55</x:v>
      </x:c>
      <x:c r="C34" s="0" t="s">
        <x:v>21</x:v>
      </x:c>
      <x:c r="D34" s="0" t="s">
        <x:v>22</x:v>
      </x:c>
      <x:c r="E34" s="0">
        <x:v>1</x:v>
      </x:c>
      <x:c r="F34" s="0">
        <x:v>2</x:v>
      </x:c>
      <x:c r="G34" s="8">
        <x:v>319.23</x:v>
      </x:c>
      <x:c r="H34" s="8">
        <x:v>638.46</x:v>
      </x:c>
      <x:c r="I34" s="0" t="s">
        <x:v>23</x:v>
      </x:c>
      <x:c r="K34" s="8">
        <x:v>638.46</x:v>
      </x:c>
      <x:c r="L34" s="0" t="s">
        <x:v>24</x:v>
      </x:c>
      <x:c r="M34" s="0" t="s">
        <x:v>25</x:v>
      </x:c>
      <x:c r="N34" s="0" t="s">
        <x:v>26</x:v>
      </x:c>
      <x:c r="P34" s="0" t="s">
        <x:v>27</x:v>
      </x:c>
    </x:row>
    <x:row r="35" spans="1:20">
      <x:c r="A35" s="0">
        <x:v>34</x:v>
      </x:c>
      <x:c r="B35" s="0" t="s">
        <x:v>155</x:v>
      </x:c>
      <x:c r="C35" s="0" t="s">
        <x:v>21</x:v>
      </x:c>
      <x:c r="D35" s="0" t="s">
        <x:v>22</x:v>
      </x:c>
      <x:c r="E35" s="0">
        <x:v>1</x:v>
      </x:c>
      <x:c r="F35" s="0">
        <x:v>1</x:v>
      </x:c>
      <x:c r="G35" s="8">
        <x:v>180</x:v>
      </x:c>
      <x:c r="H35" s="8">
        <x:v>180</x:v>
      </x:c>
      <x:c r="I35" s="0" t="s">
        <x:v>23</x:v>
      </x:c>
      <x:c r="K35" s="8">
        <x:v>180</x:v>
      </x:c>
      <x:c r="L35" s="0" t="s">
        <x:v>24</x:v>
      </x:c>
      <x:c r="M35" s="0" t="s">
        <x:v>25</x:v>
      </x:c>
      <x:c r="N35" s="0" t="s">
        <x:v>26</x:v>
      </x:c>
      <x:c r="P35" s="0" t="s">
        <x:v>27</x:v>
      </x:c>
    </x:row>
    <x:row r="36" spans="1:20">
      <x:c r="A36" s="0">
        <x:v>35</x:v>
      </x:c>
      <x:c r="B36" s="0" t="s">
        <x:v>57</x:v>
      </x:c>
      <x:c r="C36" s="0" t="s">
        <x:v>21</x:v>
      </x:c>
      <x:c r="D36" s="0" t="s">
        <x:v>22</x:v>
      </x:c>
      <x:c r="E36" s="0">
        <x:v>1</x:v>
      </x:c>
      <x:c r="F36" s="0">
        <x:v>4</x:v>
      </x:c>
      <x:c r="G36" s="8">
        <x:v>132.75</x:v>
      </x:c>
      <x:c r="H36" s="8">
        <x:v>531</x:v>
      </x:c>
      <x:c r="I36" s="0" t="s">
        <x:v>23</x:v>
      </x:c>
      <x:c r="K36" s="8">
        <x:v>531</x:v>
      </x:c>
      <x:c r="L36" s="0" t="s">
        <x:v>24</x:v>
      </x:c>
      <x:c r="M36" s="0" t="s">
        <x:v>25</x:v>
      </x:c>
      <x:c r="N36" s="0" t="s">
        <x:v>26</x:v>
      </x:c>
      <x:c r="P36" s="0" t="s">
        <x:v>27</x:v>
      </x:c>
    </x:row>
    <x:row r="37" spans="1:20">
      <x:c r="A37" s="0">
        <x:v>36</x:v>
      </x:c>
      <x:c r="B37" s="0" t="s">
        <x:v>58</x:v>
      </x:c>
      <x:c r="C37" s="0" t="s">
        <x:v>21</x:v>
      </x:c>
      <x:c r="D37" s="0" t="s">
        <x:v>22</x:v>
      </x:c>
      <x:c r="E37" s="0">
        <x:v>1</x:v>
      </x:c>
      <x:c r="F37" s="0">
        <x:v>5</x:v>
      </x:c>
      <x:c r="G37" s="8">
        <x:v>280</x:v>
      </x:c>
      <x:c r="H37" s="8">
        <x:v>1400</x:v>
      </x:c>
      <x:c r="I37" s="0" t="s">
        <x:v>23</x:v>
      </x:c>
      <x:c r="K37" s="8">
        <x:v>1400</x:v>
      </x:c>
      <x:c r="L37" s="0" t="s">
        <x:v>24</x:v>
      </x:c>
      <x:c r="M37" s="0" t="s">
        <x:v>25</x:v>
      </x:c>
      <x:c r="N37" s="0" t="s">
        <x:v>26</x:v>
      </x:c>
      <x:c r="P37" s="0" t="s">
        <x:v>27</x:v>
      </x:c>
    </x:row>
    <x:row r="38" spans="1:20">
      <x:c r="A38" s="0">
        <x:v>37</x:v>
      </x:c>
      <x:c r="B38" s="0" t="s">
        <x:v>98</x:v>
      </x:c>
      <x:c r="C38" s="0" t="s">
        <x:v>21</x:v>
      </x:c>
      <x:c r="D38" s="0" t="s">
        <x:v>34</x:v>
      </x:c>
      <x:c r="E38" s="0">
        <x:v>1</x:v>
      </x:c>
      <x:c r="F38" s="0">
        <x:v>0.2</x:v>
      </x:c>
      <x:c r="G38" s="8">
        <x:v>3450</x:v>
      </x:c>
      <x:c r="H38" s="8">
        <x:v>690</x:v>
      </x:c>
      <x:c r="I38" s="0" t="s">
        <x:v>23</x:v>
      </x:c>
      <x:c r="K38" s="8">
        <x:v>690</x:v>
      </x:c>
      <x:c r="L38" s="0" t="s">
        <x:v>24</x:v>
      </x:c>
      <x:c r="M38" s="0" t="s">
        <x:v>25</x:v>
      </x:c>
      <x:c r="N38" s="0" t="s">
        <x:v>26</x:v>
      </x:c>
      <x:c r="P38" s="0" t="s">
        <x:v>27</x:v>
      </x:c>
    </x:row>
    <x:row r="39" spans="1:20">
      <x:c r="A39" s="0">
        <x:v>38</x:v>
      </x:c>
      <x:c r="B39" s="0" t="s">
        <x:v>60</x:v>
      </x:c>
      <x:c r="C39" s="0" t="s">
        <x:v>21</x:v>
      </x:c>
      <x:c r="D39" s="0" t="s">
        <x:v>22</x:v>
      </x:c>
      <x:c r="E39" s="0">
        <x:v>1</x:v>
      </x:c>
      <x:c r="F39" s="0">
        <x:v>5</x:v>
      </x:c>
      <x:c r="G39" s="8">
        <x:v>150</x:v>
      </x:c>
      <x:c r="H39" s="8">
        <x:v>750</x:v>
      </x:c>
      <x:c r="I39" s="0" t="s">
        <x:v>23</x:v>
      </x:c>
      <x:c r="K39" s="8">
        <x:v>750</x:v>
      </x:c>
      <x:c r="L39" s="0" t="s">
        <x:v>24</x:v>
      </x:c>
      <x:c r="M39" s="0" t="s">
        <x:v>25</x:v>
      </x:c>
      <x:c r="N39" s="0" t="s">
        <x:v>26</x:v>
      </x:c>
      <x:c r="P39" s="0" t="s">
        <x:v>27</x:v>
      </x:c>
    </x:row>
    <x:row r="40" spans="1:20">
      <x:c r="A40" s="0">
        <x:v>39</x:v>
      </x:c>
      <x:c r="B40" s="0" t="s">
        <x:v>90</x:v>
      </x:c>
      <x:c r="C40" s="0" t="s">
        <x:v>21</x:v>
      </x:c>
      <x:c r="D40" s="0" t="s">
        <x:v>22</x:v>
      </x:c>
      <x:c r="E40" s="0">
        <x:v>1</x:v>
      </x:c>
      <x:c r="F40" s="0">
        <x:v>1</x:v>
      </x:c>
      <x:c r="G40" s="8">
        <x:v>45</x:v>
      </x:c>
      <x:c r="H40" s="8">
        <x:v>45</x:v>
      </x:c>
      <x:c r="I40" s="0" t="s">
        <x:v>23</x:v>
      </x:c>
      <x:c r="K40" s="8">
        <x:v>45</x:v>
      </x:c>
      <x:c r="L40" s="0" t="s">
        <x:v>24</x:v>
      </x:c>
      <x:c r="M40" s="0" t="s">
        <x:v>25</x:v>
      </x:c>
      <x:c r="N40" s="0" t="s">
        <x:v>26</x:v>
      </x:c>
      <x:c r="P40" s="0" t="s">
        <x:v>27</x:v>
      </x:c>
    </x:row>
    <x:row r="41" spans="1:20">
      <x:c r="H41" s="18">
        <x:f>SUM(H2:H40)</x:f>
      </x:c>
    </x:row>
    <x:row r="43" spans="1:20">
      <x:c r="B43" s="19" t="s">
        <x:v>163</x:v>
      </x:c>
      <x:c r="C43" s="20"/>
      <x:c r="D43" s="20"/>
      <x:c r="E43" s="20"/>
      <x:c r="F43" s="20"/>
      <x:c r="G43" s="20"/>
      <x:c r="H43" s="21">
        <x:f>SUM(H44:H46)</x:f>
      </x:c>
      <x:c r="I43" s="22" t="s">
        <x:v>164</x:v>
      </x:c>
    </x:row>
    <x:row r="44" spans="1:20">
      <x:c r="B44" s="21" t="s">
        <x:v>165</x:v>
      </x:c>
      <x:c r="C44" s="21"/>
      <x:c r="D44" s="21"/>
      <x:c r="E44" s="21"/>
      <x:c r="F44" s="20">
        <x:f>F2+F4+F5+F6+F18+F19+F20+F21+F22+F25+F26+F27+F31+F32+F36+F37+F39</x:f>
      </x:c>
      <x:c r="G44" s="20">
        <x:f>G2+G4+G5+G6+G18+G19+G20+G21+G22+G25+G26+G27+G31+G32+G36+G37+G39</x:f>
      </x:c>
      <x:c r="H44" s="20">
        <x:f>H2+H4+H5+H6+H18+H19+H20+H21+H22+H25+H26+H27+H31+H32+H36+H37+H39</x:f>
      </x:c>
      <x:c r="I44" s="15"/>
    </x:row>
    <x:row r="45" spans="1:20">
      <x:c r="B45" s="21" t="s">
        <x:v>166</x:v>
      </x:c>
      <x:c r="C45" s="21"/>
      <x:c r="D45" s="21"/>
      <x:c r="E45" s="21"/>
      <x:c r="F45" s="20">
        <x:f>F28+F40</x:f>
      </x:c>
      <x:c r="G45" s="20">
        <x:f>G28+G40</x:f>
      </x:c>
      <x:c r="H45" s="20">
        <x:f>H28+H40</x:f>
      </x:c>
      <x:c r="I45" s="15"/>
    </x:row>
    <x:row r="46" spans="1:20">
      <x:c r="B46" s="21" t="s">
        <x:v>167</x:v>
      </x:c>
      <x:c r="C46" s="21"/>
      <x:c r="D46" s="21"/>
      <x:c r="E46" s="21"/>
      <x:c r="F46" s="20">
        <x:f>F7+F30+F33</x:f>
      </x:c>
      <x:c r="G46" s="20">
        <x:f>G7+G30+G33</x:f>
      </x:c>
      <x:c r="H46" s="20">
        <x:f>H7+H30+H33</x:f>
      </x:c>
      <x:c r="I46" s="15"/>
    </x:row>
    <x:row r="47" spans="1:20">
      <x:c r="B47" s="19" t="s">
        <x:v>168</x:v>
      </x:c>
      <x:c r="C47" s="20"/>
      <x:c r="D47" s="20"/>
      <x:c r="E47" s="20"/>
      <x:c r="F47" s="20"/>
      <x:c r="G47" s="20"/>
      <x:c r="H47" s="21">
        <x:f>SUM(H48:H54)</x:f>
      </x:c>
      <x:c r="I47" s="22" t="s">
        <x:v>169</x:v>
      </x:c>
    </x:row>
    <x:row r="48" spans="1:20">
      <x:c r="B48" s="21" t="s">
        <x:v>170</x:v>
      </x:c>
      <x:c r="C48" s="21"/>
      <x:c r="D48" s="21"/>
      <x:c r="E48" s="21"/>
      <x:c r="F48" s="20">
        <x:f>F9+F10+F11+F12+F13+F14+F15+F16</x:f>
      </x:c>
      <x:c r="G48" s="20">
        <x:f>G9+G10+G11+G12+G13+G14+G15+G16</x:f>
      </x:c>
      <x:c r="H48" s="20">
        <x:f>H9+H10+H11+H12+H13+H14+H15+H16</x:f>
      </x:c>
      <x:c r="I48" s="15"/>
    </x:row>
    <x:row r="49" spans="1:20">
      <x:c r="B49" s="21" t="s">
        <x:v>171</x:v>
      </x:c>
      <x:c r="C49" s="21"/>
      <x:c r="D49" s="21"/>
      <x:c r="E49" s="21"/>
      <x:c r="F49" s="20"/>
      <x:c r="G49" s="20"/>
      <x:c r="H49" s="20"/>
      <x:c r="I49" s="15"/>
    </x:row>
    <x:row r="50" spans="1:20">
      <x:c r="B50" s="21" t="s">
        <x:v>172</x:v>
      </x:c>
      <x:c r="C50" s="21"/>
      <x:c r="D50" s="21"/>
      <x:c r="E50" s="21"/>
      <x:c r="F50" s="20">
        <x:f>F8</x:f>
      </x:c>
      <x:c r="G50" s="20">
        <x:f>G8</x:f>
      </x:c>
      <x:c r="H50" s="20">
        <x:f>H8</x:f>
      </x:c>
      <x:c r="I50" s="15"/>
    </x:row>
    <x:row r="51" spans="1:20">
      <x:c r="B51" s="21" t="s">
        <x:v>173</x:v>
      </x:c>
      <x:c r="C51" s="21"/>
      <x:c r="D51" s="21"/>
      <x:c r="E51" s="21"/>
      <x:c r="F51" s="20">
        <x:f>F3+F38</x:f>
      </x:c>
      <x:c r="G51" s="20">
        <x:f>G3+G38</x:f>
      </x:c>
      <x:c r="H51" s="20">
        <x:f>H3+H38</x:f>
      </x:c>
      <x:c r="I51" s="15"/>
    </x:row>
    <x:row r="52" spans="1:20">
      <x:c r="B52" s="21" t="s">
        <x:v>174</x:v>
      </x:c>
      <x:c r="C52" s="21"/>
      <x:c r="D52" s="21"/>
      <x:c r="E52" s="21"/>
      <x:c r="F52" s="20">
        <x:f>F17</x:f>
      </x:c>
      <x:c r="G52" s="20">
        <x:f>G17</x:f>
      </x:c>
      <x:c r="H52" s="20">
        <x:f>H17</x:f>
      </x:c>
      <x:c r="I52" s="15"/>
    </x:row>
    <x:row r="53" spans="1:20">
      <x:c r="B53" s="21" t="s">
        <x:v>70</x:v>
      </x:c>
      <x:c r="C53" s="21"/>
      <x:c r="D53" s="21"/>
      <x:c r="E53" s="21"/>
      <x:c r="F53" s="20"/>
      <x:c r="G53" s="20"/>
      <x:c r="H53" s="20"/>
      <x:c r="I53" s="15"/>
    </x:row>
    <x:row r="54" spans="1:20">
      <x:c r="B54" s="21" t="s">
        <x:v>175</x:v>
      </x:c>
      <x:c r="C54" s="21"/>
      <x:c r="D54" s="21"/>
      <x:c r="E54" s="21"/>
      <x:c r="F54" s="20"/>
      <x:c r="G54" s="20"/>
      <x:c r="H54" s="20"/>
      <x:c r="I54" s="15"/>
    </x:row>
    <x:row r="55" spans="1:20">
      <x:c r="B55" s="19" t="s">
        <x:v>176</x:v>
      </x:c>
      <x:c r="C55" s="20"/>
      <x:c r="D55" s="20"/>
      <x:c r="E55" s="20"/>
      <x:c r="F55" s="20"/>
      <x:c r="G55" s="20"/>
      <x:c r="H55" s="21">
        <x:f>SUM(H56:H61)</x:f>
      </x:c>
      <x:c r="I55" s="22" t="s">
        <x:v>177</x:v>
      </x:c>
    </x:row>
    <x:row r="56" spans="1:20">
      <x:c r="B56" s="21" t="s">
        <x:v>178</x:v>
      </x:c>
      <x:c r="C56" s="21"/>
      <x:c r="D56" s="21"/>
      <x:c r="E56" s="21"/>
      <x:c r="F56" s="20"/>
      <x:c r="G56" s="20"/>
      <x:c r="H56" s="20"/>
      <x:c r="I56" s="15"/>
    </x:row>
    <x:row r="57" spans="1:20">
      <x:c r="B57" s="21" t="s">
        <x:v>179</x:v>
      </x:c>
      <x:c r="C57" s="21"/>
      <x:c r="D57" s="21"/>
      <x:c r="E57" s="21"/>
      <x:c r="F57" s="20">
        <x:f>F34</x:f>
      </x:c>
      <x:c r="G57" s="20">
        <x:f>G34</x:f>
      </x:c>
      <x:c r="H57" s="20">
        <x:f>H34</x:f>
      </x:c>
      <x:c r="I57" s="15"/>
    </x:row>
    <x:row r="58" spans="1:20">
      <x:c r="B58" s="21" t="s">
        <x:v>54</x:v>
      </x:c>
      <x:c r="C58" s="21"/>
      <x:c r="D58" s="21"/>
      <x:c r="E58" s="21"/>
      <x:c r="F58" s="20"/>
      <x:c r="G58" s="20"/>
      <x:c r="H58" s="20"/>
      <x:c r="I58" s="15"/>
    </x:row>
    <x:row r="59" spans="1:20">
      <x:c r="B59" s="21" t="s">
        <x:v>180</x:v>
      </x:c>
      <x:c r="C59" s="21"/>
      <x:c r="D59" s="21"/>
      <x:c r="E59" s="21"/>
      <x:c r="F59" s="20"/>
      <x:c r="G59" s="20"/>
      <x:c r="H59" s="20"/>
      <x:c r="I59" s="15"/>
    </x:row>
    <x:row r="60" spans="1:20">
      <x:c r="B60" s="21" t="s">
        <x:v>181</x:v>
      </x:c>
      <x:c r="C60" s="21"/>
      <x:c r="D60" s="21"/>
      <x:c r="E60" s="21"/>
      <x:c r="F60" s="20">
        <x:f>F24+F29+F35</x:f>
      </x:c>
      <x:c r="G60" s="20">
        <x:f>G24+G29+G35</x:f>
      </x:c>
      <x:c r="H60" s="20">
        <x:f>H24+H29+H35</x:f>
      </x:c>
      <x:c r="I60" s="15"/>
    </x:row>
    <x:row r="61" spans="1:20">
      <x:c r="B61" s="21" t="s">
        <x:v>182</x:v>
      </x:c>
      <x:c r="C61" s="21"/>
      <x:c r="D61" s="21"/>
      <x:c r="E61" s="21"/>
      <x:c r="F61" s="20">
        <x:f>F23</x:f>
      </x:c>
      <x:c r="G61" s="20">
        <x:f>G23</x:f>
      </x:c>
      <x:c r="H61" s="20">
        <x:f>H23</x:f>
      </x:c>
      <x:c r="I61" s="15"/>
    </x:row>
    <x:row r="62" spans="1:20">
      <x:c r="B62" s="19" t="s">
        <x:v>183</x:v>
      </x:c>
      <x:c r="C62" s="20"/>
      <x:c r="D62" s="20"/>
      <x:c r="E62" s="20"/>
      <x:c r="F62" s="20"/>
      <x:c r="G62" s="20"/>
      <x:c r="H62" s="21">
        <x:f>SUM(H63:H64)</x:f>
      </x:c>
      <x:c r="I62" s="22"/>
    </x:row>
    <x:row r="63" spans="1:20">
      <x:c r="B63" s="21" t="s">
        <x:v>184</x:v>
      </x:c>
      <x:c r="C63" s="21"/>
      <x:c r="D63" s="21"/>
      <x:c r="E63" s="21"/>
      <x:c r="F63" s="20"/>
      <x:c r="G63" s="20"/>
      <x:c r="H63" s="20"/>
      <x:c r="I63" s="15"/>
    </x:row>
    <x:row r="64" spans="1:20">
      <x:c r="B64" s="21" t="s">
        <x:v>185</x:v>
      </x:c>
      <x:c r="C64" s="21"/>
      <x:c r="D64" s="21"/>
      <x:c r="E64" s="21"/>
      <x:c r="F64" s="20"/>
      <x:c r="G64" s="20"/>
      <x:c r="H64" s="20"/>
      <x:c r="I64" s="15"/>
    </x:row>
    <x:row r="65" spans="1:20">
      <x:c r="B65" s="22"/>
      <x:c r="C65" s="22"/>
      <x:c r="D65" s="22"/>
      <x:c r="E65" s="22"/>
      <x:c r="F65" s="15"/>
      <x:c r="G65" s="15"/>
      <x:c r="H65" s="22">
        <x:f>H43+H47+H55+H62</x:f>
      </x:c>
      <x:c r="I65" s="15"/>
    </x:row>
    <x:row r="66" spans="1:20">
      <x:c r="H66" s="17">
        <x:f>H65 - H41</x:f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 Online</ap:Application>
  <ap:TitlesOfParts>
    <vt:vector baseType="lpstr" size="90">
      <vt:lpstr>Лист1</vt:lpstr>
      <vt:lpstr>Лист2</vt:lpstr>
      <vt:lpstr>Лист3</vt:lpstr>
      <vt:lpstr>Лист4</vt:lpstr>
      <vt:lpstr>Лист5</vt:lpstr>
      <vt:lpstr>Лист6</vt:lpstr>
      <vt:lpstr>Лист7</vt:lpstr>
      <vt:lpstr>Лист8</vt:lpstr>
      <vt:lpstr>Лист9</vt:lpstr>
      <vt:lpstr>Лист10</vt:lpstr>
      <vt:lpstr>Лист11</vt:lpstr>
      <vt:lpstr>Лист12</vt:lpstr>
      <vt:lpstr>Лист13</vt:lpstr>
      <vt:lpstr>Лист14</vt:lpstr>
      <vt:lpstr>Лист15</vt:lpstr>
      <vt:lpstr>Лист16</vt:lpstr>
      <vt:lpstr>Лист17</vt:lpstr>
      <vt:lpstr>Лист18</vt:lpstr>
      <vt:lpstr>Лист19</vt:lpstr>
      <vt:lpstr>Лист20</vt:lpstr>
      <vt:lpstr>Лист21</vt:lpstr>
      <vt:lpstr>Лист22</vt:lpstr>
      <vt:lpstr>Лист23</vt:lpstr>
      <vt:lpstr>Лист24</vt:lpstr>
      <vt:lpstr>Лист25</vt:lpstr>
      <vt:lpstr>Лист26</vt:lpstr>
      <vt:lpstr>Лист27</vt:lpstr>
      <vt:lpstr>Лист28</vt:lpstr>
      <vt:lpstr>Лист29</vt:lpstr>
      <vt:lpstr>Лист30</vt:lpstr>
      <vt:lpstr>Лист1!Print_Area</vt:lpstr>
      <vt:lpstr>Лист1!Print_Titles</vt:lpstr>
      <vt:lpstr>Лист2!Print_Area</vt:lpstr>
      <vt:lpstr>Лист2!Print_Titles</vt:lpstr>
      <vt:lpstr>Лист3!Print_Area</vt:lpstr>
      <vt:lpstr>Лист3!Print_Titles</vt:lpstr>
      <vt:lpstr>Лист4!Print_Area</vt:lpstr>
      <vt:lpstr>Лист4!Print_Titles</vt:lpstr>
      <vt:lpstr>Лист5!Print_Area</vt:lpstr>
      <vt:lpstr>Лист5!Print_Titles</vt:lpstr>
      <vt:lpstr>Лист6!Print_Area</vt:lpstr>
      <vt:lpstr>Лист6!Print_Titles</vt:lpstr>
      <vt:lpstr>Лист7!Print_Area</vt:lpstr>
      <vt:lpstr>Лист7!Print_Titles</vt:lpstr>
      <vt:lpstr>Лист8!Print_Area</vt:lpstr>
      <vt:lpstr>Лист8!Print_Titles</vt:lpstr>
      <vt:lpstr>Лист9!Print_Area</vt:lpstr>
      <vt:lpstr>Лист9!Print_Titles</vt:lpstr>
      <vt:lpstr>Лист10!Print_Area</vt:lpstr>
      <vt:lpstr>Лист10!Print_Titles</vt:lpstr>
      <vt:lpstr>Лист11!Print_Area</vt:lpstr>
      <vt:lpstr>Лист11!Print_Titles</vt:lpstr>
      <vt:lpstr>Лист12!Print_Area</vt:lpstr>
      <vt:lpstr>Лист12!Print_Titles</vt:lpstr>
      <vt:lpstr>Лист13!Print_Area</vt:lpstr>
      <vt:lpstr>Лист13!Print_Titles</vt:lpstr>
      <vt:lpstr>Лист14!Print_Area</vt:lpstr>
      <vt:lpstr>Лист14!Print_Titles</vt:lpstr>
      <vt:lpstr>Лист15!Print_Area</vt:lpstr>
      <vt:lpstr>Лист15!Print_Titles</vt:lpstr>
      <vt:lpstr>Лист16!Print_Area</vt:lpstr>
      <vt:lpstr>Лист16!Print_Titles</vt:lpstr>
      <vt:lpstr>Лист17!Print_Area</vt:lpstr>
      <vt:lpstr>Лист17!Print_Titles</vt:lpstr>
      <vt:lpstr>Лист18!Print_Area</vt:lpstr>
      <vt:lpstr>Лист18!Print_Titles</vt:lpstr>
      <vt:lpstr>Лист19!Print_Area</vt:lpstr>
      <vt:lpstr>Лист19!Print_Titles</vt:lpstr>
      <vt:lpstr>Лист20!Print_Area</vt:lpstr>
      <vt:lpstr>Лист20!Print_Titles</vt:lpstr>
      <vt:lpstr>Лист21!Print_Area</vt:lpstr>
      <vt:lpstr>Лист21!Print_Titles</vt:lpstr>
      <vt:lpstr>Лист22!Print_Area</vt:lpstr>
      <vt:lpstr>Лист22!Print_Titles</vt:lpstr>
      <vt:lpstr>Лист23!Print_Area</vt:lpstr>
      <vt:lpstr>Лист23!Print_Titles</vt:lpstr>
      <vt:lpstr>Лист24!Print_Area</vt:lpstr>
      <vt:lpstr>Лист24!Print_Titles</vt:lpstr>
      <vt:lpstr>Лист25!Print_Area</vt:lpstr>
      <vt:lpstr>Лист25!Print_Titles</vt:lpstr>
      <vt:lpstr>Лист26!Print_Area</vt:lpstr>
      <vt:lpstr>Лист26!Print_Titles</vt:lpstr>
      <vt:lpstr>Лист27!Print_Area</vt:lpstr>
      <vt:lpstr>Лист27!Print_Titles</vt:lpstr>
      <vt:lpstr>Лист28!Print_Area</vt:lpstr>
      <vt:lpstr>Лист28!Print_Titles</vt:lpstr>
      <vt:lpstr>Лист29!Print_Area</vt:lpstr>
      <vt:lpstr>Лист29!Print_Titles</vt:lpstr>
      <vt:lpstr>Лист30!Print_Area</vt:lpstr>
      <vt:lpstr>Лист30!Print_Titles</vt:lpstr>
    </vt:vector>
  </ap:TitlesOfParts>
  <ap:HeadingPairs>
    <vt:vector baseType="variant" size="4">
      <vt:variant>
        <vt:lpstr>Worksheets</vt:lpstr>
      </vt:variant>
      <vt:variant>
        <vt:i4>30</vt:i4>
      </vt:variant>
      <vt:variant>
        <vt:lpstr>Named Ranges</vt:lpstr>
      </vt:variant>
      <vt:variant>
        <vt:i4>60</vt:i4>
      </vt:variant>
    </vt:vector>
  </ap:HeadingPairs>
  <ap:HyperlinkBase/>
  <ap:AppVersion>16.0300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>Айталина Вишнякова</dc:creator>
  <keywords/>
  <dc:description/>
  <lastModifiedBy>hatiblina1@gmail.com</lastModifiedBy>
  <revision/>
  <dcterms:created xsi:type="dcterms:W3CDTF">2023-11-27T08:14:15.0000000Z</dcterms:created>
  <dcterms:modified xsi:type="dcterms:W3CDTF">2026-05-06T12:05:34.0000000Z</dcterms:modified>
  <category/>
  <contentStatus/>
</coreProperties>
</file>